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دليل Pro" sheetId="1" state="visible" r:id="rId3"/>
    <sheet name="Pro ملف الرياضي" sheetId="2" state="visible" r:id="rId4"/>
    <sheet name="Pro مخطط الأسبوع" sheetId="3" state="visible" r:id="rId5"/>
    <sheet name="Pro باني الوجبة" sheetId="4" state="visible" r:id="rId6"/>
    <sheet name="Pro قاعدة الأغذية" sheetId="5" state="visible" r:id="rId7"/>
    <sheet name="Pro إعدادات" sheetId="6" state="visible" r:id="rId8"/>
    <sheet name="Pro إرشادات المراحل" sheetId="7" state="visible" r:id="rId9"/>
    <sheet name="Pro تفضيلات" sheetId="8" state="visible" r:id="rId10"/>
    <sheet name="قوائم النظام" sheetId="9" state="hidden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<sst xmlns="http://schemas.openxmlformats.org/spreadsheetml/2006/main" count="1752" uniqueCount="874">
  <si>
    <t xml:space="preserve">Diet Pro Athlete — نظام تغذية الرياضيين بالجرام (مستقل)</t>
  </si>
  <si>
    <t xml:space="preserve">لا يستبدل التقييم السريري أو الحكم المهني لأخصائي التغذية.</t>
  </si>
  <si>
    <t xml:space="preserve">1) «Pro ملف الرياضي»: أدخل بيانات الرياضي (اسم، جنس، عمر، وزن، طول) واختر المرحلة وأدخل نوع كل يوم ومدة التدريب؛ تظهر أهداف كل يوم بالجرام.</t>
  </si>
  <si>
    <t xml:space="preserve">2) «Pro مخطط الأسبوع»: لكل وجبة اختر الصنف واكتب الجرامات؛ يظهر مجموع الوجبة ومجموع اليوم والفرق عن الهدف.</t>
  </si>
  <si>
    <t xml:space="preserve">3) «Pro باني الوجبة»: اكتب هدف الوجبة بالجرام واختر مصادر البروتين والكارب والدهون فيحسب الجرامات.</t>
  </si>
  <si>
    <t xml:space="preserve">4) «Pro قاعدة الأغذية»: 122 صنفاً من USDA لكل 100 جم؛ أضف أصنافاً من Pro_Foods_Database.xlsx.</t>
  </si>
  <si>
    <t xml:space="preserve">5) «Pro إعدادات» و«Pro إرشادات المراحل»: كل القيم والعبارات قابلة للتعديل.</t>
  </si>
  <si>
    <t xml:space="preserve">6) احفظ الملف (Ctrl+S) ثم شغّل: python make_pro_word.py --xlsx Diet_Pro_Athlete.xlsx --out Pro_Plan.docx</t>
  </si>
  <si>
    <t xml:space="preserve">Pro — ملف الرياضي والأهداف بالجرام</t>
  </si>
  <si>
    <t xml:space="preserve">يعمل بالجرام وبشكل مستقل عن نظام الحصص. الاسم والجنس والعمر والوزن والطول تُؤخذ من صفحة العميل. أدخل المرحلة وجدول الأسبوع (الخلايا الصفراء).</t>
  </si>
  <si>
    <t xml:space="preserve">الاسم</t>
  </si>
  <si>
    <t xml:space="preserve">رياضي تجريبي</t>
  </si>
  <si>
    <t xml:space="preserve">الجنس</t>
  </si>
  <si>
    <t xml:space="preserve">ذكر</t>
  </si>
  <si>
    <t xml:space="preserve">العمر</t>
  </si>
  <si>
    <t xml:space="preserve">الوزن (كجم)</t>
  </si>
  <si>
    <t xml:space="preserve">الطول (سم)</t>
  </si>
  <si>
    <t xml:space="preserve">نسبة الدهون % (اختياري — تفعّل معادلة الكتلة الخالية)</t>
  </si>
  <si>
    <t xml:space="preserve">الرياضة</t>
  </si>
  <si>
    <t xml:space="preserve">كمال أجسام</t>
  </si>
  <si>
    <t xml:space="preserve">المرحلة</t>
  </si>
  <si>
    <t xml:space="preserve">تثبيت / صيانة</t>
  </si>
  <si>
    <t xml:space="preserve">طريقة حساب الكارب</t>
  </si>
  <si>
    <t xml:space="preserve">حسب حمل التدريب (g/kg)</t>
  </si>
  <si>
    <t xml:space="preserve">الكتلة الخالية FFM (كجم)</t>
  </si>
  <si>
    <t xml:space="preserve">BMR</t>
  </si>
  <si>
    <t xml:space="preserve">طريقة BMR</t>
  </si>
  <si>
    <t xml:space="preserve">بروتين g/kg (المرحلة)</t>
  </si>
  <si>
    <t xml:space="preserve">دهون g/kg (المرحلة)</t>
  </si>
  <si>
    <t xml:space="preserve">تعديل سعرات المرحلة</t>
  </si>
  <si>
    <t xml:space="preserve">جدول الأسبوع والأهداف بالجرام</t>
  </si>
  <si>
    <t xml:space="preserve">اليوم</t>
  </si>
  <si>
    <t xml:space="preserve">نوع اليوم</t>
  </si>
  <si>
    <t xml:space="preserve">مدة التدريب (د)</t>
  </si>
  <si>
    <t xml:space="preserve">وقت التدريب</t>
  </si>
  <si>
    <t xml:space="preserve">سعرات التدريب</t>
  </si>
  <si>
    <t xml:space="preserve">TDEE</t>
  </si>
  <si>
    <t xml:space="preserve">سعرات الهدف</t>
  </si>
  <si>
    <t xml:space="preserve">بروتين g</t>
  </si>
  <si>
    <t xml:space="preserve">كارب g</t>
  </si>
  <si>
    <t xml:space="preserve">دهون g</t>
  </si>
  <si>
    <t xml:space="preserve">kcal الماكروز</t>
  </si>
  <si>
    <t xml:space="preserve">فرق عن الهدف</t>
  </si>
  <si>
    <t xml:space="preserve">كارب g/kg</t>
  </si>
  <si>
    <t xml:space="preserve">ماء (لتر)</t>
  </si>
  <si>
    <t xml:space="preserve">EA kcal/kg FFM</t>
  </si>
  <si>
    <t xml:space="preserve">تحذيرات</t>
  </si>
  <si>
    <t xml:space="preserve">الأحد</t>
  </si>
  <si>
    <t xml:space="preserve">تدريب ثقيل</t>
  </si>
  <si>
    <t xml:space="preserve">17:00</t>
  </si>
  <si>
    <t xml:space="preserve">الاثنين</t>
  </si>
  <si>
    <t xml:space="preserve">تدريب متوسط</t>
  </si>
  <si>
    <t xml:space="preserve">الثلاثاء</t>
  </si>
  <si>
    <t xml:space="preserve">راحة</t>
  </si>
  <si>
    <t xml:space="preserve">الأربعاء</t>
  </si>
  <si>
    <t xml:space="preserve">الخميس</t>
  </si>
  <si>
    <t xml:space="preserve">الجمعة</t>
  </si>
  <si>
    <t xml:space="preserve">السبت</t>
  </si>
  <si>
    <t xml:space="preserve">تدريب خفيف</t>
  </si>
  <si>
    <t xml:space="preserve">10:00</t>
  </si>
  <si>
    <t xml:space="preserve">متوسط الأسبوع</t>
  </si>
  <si>
    <t xml:space="preserve">بيانات الخطة (تظهر في ملف Word)</t>
  </si>
  <si>
    <t xml:space="preserve">تاريخ الخطة</t>
  </si>
  <si>
    <t xml:space="preserve">اسم الأخصائي / العيادة</t>
  </si>
  <si>
    <t xml:space="preserve">اسم الأخصائي</t>
  </si>
  <si>
    <t xml:space="preserve">رقم التواصل / واتساب</t>
  </si>
  <si>
    <t xml:space="preserve">تاريخ المتابعة القادمة</t>
  </si>
  <si>
    <t xml:space="preserve">هدف الرياضي (بكلماته)</t>
  </si>
  <si>
    <t xml:space="preserve">الوصول لأفضل لياقة وشكل</t>
  </si>
  <si>
    <t xml:space="preserve">وزن الهدف (كجم)</t>
  </si>
  <si>
    <t xml:space="preserve">مدة المرحلة (أسابيع)</t>
  </si>
  <si>
    <t xml:space="preserve">ملاحظة الأخصائي للرياضي</t>
  </si>
  <si>
    <t xml:space="preserve">Pro — مخطط الوجبات بالجرام (مجموع كل وجبة + مجموع اليوم)</t>
  </si>
  <si>
    <t xml:space="preserve">لكل وجبة اختر الصنف (قائمة من «Pro قاعدة الأغذية») واكتب الجرامات؛ تُحسب السعرات والماكروز تلقائياً، مع مجموع الوجبة ومجموع اليوم والفرق عن الهدف (أخضر = ضمن السماحية).</t>
  </si>
  <si>
    <t xml:space="preserve">الوجبة</t>
  </si>
  <si>
    <t xml:space="preserve">الصنف</t>
  </si>
  <si>
    <t xml:space="preserve">جرام</t>
  </si>
  <si>
    <t xml:space="preserve">kcal</t>
  </si>
  <si>
    <t xml:space="preserve">ألياف g</t>
  </si>
  <si>
    <t xml:space="preserve">صوديوم mg</t>
  </si>
  <si>
    <t xml:space="preserve">الحالة</t>
  </si>
  <si>
    <t xml:space="preserve">هدف بروتين</t>
  </si>
  <si>
    <t xml:space="preserve">هدف كارب</t>
  </si>
  <si>
    <t xml:space="preserve">هدف دهون</t>
  </si>
  <si>
    <t xml:space="preserve">هدف kcal</t>
  </si>
  <si>
    <t xml:space="preserve">فرق بروتين</t>
  </si>
  <si>
    <t xml:space="preserve">فرق كارب</t>
  </si>
  <si>
    <t xml:space="preserve">فرق دهون</t>
  </si>
  <si>
    <t xml:space="preserve">شوفان جاف</t>
  </si>
  <si>
    <t xml:space="preserve">بيض كامل مسلوق</t>
  </si>
  <si>
    <t xml:space="preserve">موز</t>
  </si>
  <si>
    <t xml:space="preserve">مجموع الوجبة</t>
  </si>
  <si>
    <t xml:space="preserve">خبز بيتا (عربي) أبيض</t>
  </si>
  <si>
    <t xml:space="preserve">تمر مجدول</t>
  </si>
  <si>
    <t xml:space="preserve">زبادي يوناني خالي الدسم</t>
  </si>
  <si>
    <t xml:space="preserve">أرز أبيض مطبوخ</t>
  </si>
  <si>
    <t xml:space="preserve">صدر دجاج بلا جلد مشوي</t>
  </si>
  <si>
    <t xml:space="preserve">بروكلي مسلوق</t>
  </si>
  <si>
    <t xml:space="preserve">زيت زيتون</t>
  </si>
  <si>
    <t xml:space="preserve">بروتين مصل اللبن (بودرة)</t>
  </si>
  <si>
    <t xml:space="preserve">بطاطا حلوة مشوية</t>
  </si>
  <si>
    <t xml:space="preserve">سلمون أطلسي (مزارع) مطبوخ</t>
  </si>
  <si>
    <t xml:space="preserve">خس روماني</t>
  </si>
  <si>
    <t xml:space="preserve">مجموع اليوم</t>
  </si>
  <si>
    <t xml:space="preserve">الفرق عن هدف اليوم</t>
  </si>
  <si>
    <t xml:space="preserve">Pro — باني الوجبة: يحسب الجرامات لتحقيق هدف بروتين/كارب/دهون</t>
  </si>
  <si>
    <t xml:space="preserve">اكتب هدف الوجبة بالجرام، واختر مصدر بروتين ومصدر كارب ومصدر دهون (ويمكن إضافة صنف ثابت بجرام معلوم)؛ يحل النظام معادلات الماكروز ويعرض الجرامات (مقرَّبة لأقرب 5 جم) والماكروز الناتج.</t>
  </si>
  <si>
    <t xml:space="preserve">هدف البروتين (جم)</t>
  </si>
  <si>
    <t xml:space="preserve">هدف الكارب (جم)</t>
  </si>
  <si>
    <t xml:space="preserve">هدف الدهون (جم)</t>
  </si>
  <si>
    <t xml:space="preserve">مصدر البروتين</t>
  </si>
  <si>
    <t xml:space="preserve">مصدر الكارب</t>
  </si>
  <si>
    <t xml:space="preserve">مصدر الدهون</t>
  </si>
  <si>
    <t xml:space="preserve">صنف ثابت (اختياري)</t>
  </si>
  <si>
    <t xml:space="preserve">جرامات الصنف الثابت</t>
  </si>
  <si>
    <t xml:space="preserve">بروتين/جم</t>
  </si>
  <si>
    <t xml:space="preserve">كارب/جم</t>
  </si>
  <si>
    <t xml:space="preserve">دهون/جم</t>
  </si>
  <si>
    <t xml:space="preserve">بروتين</t>
  </si>
  <si>
    <t xml:space="preserve">كارب</t>
  </si>
  <si>
    <t xml:space="preserve">دهون</t>
  </si>
  <si>
    <t xml:space="preserve">الهدف بعد خصم الصنف الثابت</t>
  </si>
  <si>
    <t xml:space="preserve">المحدد (det)</t>
  </si>
  <si>
    <t xml:space="preserve">محددات كرامر</t>
  </si>
  <si>
    <t xml:space="preserve">النتيجة (جرام)</t>
  </si>
  <si>
    <t xml:space="preserve">الصنف الثابت</t>
  </si>
  <si>
    <t xml:space="preserve">الجرامات (مقرَّبة لأقرب 5)</t>
  </si>
  <si>
    <t xml:space="preserve">الأصناف</t>
  </si>
  <si>
    <t xml:space="preserve">الماكروز الناتج</t>
  </si>
  <si>
    <t xml:space="preserve">الناتج</t>
  </si>
  <si>
    <t xml:space="preserve">الفرق عن الهدف</t>
  </si>
  <si>
    <t xml:space="preserve">Pro — قاعدة الأغذية بالجرام (القيم لكل 100 جم) — المصدر: USDA FoodData Central</t>
  </si>
  <si>
    <t xml:space="preserve">القيم لكل 100 جم من الغذاء بحالته المذكورة (نيء/مطبوخ). أضف أصنافاً في الصفوف الفارغة (حتى 600 صنف) بنسخ صفوف من ملف Pro_Foods_Database.xlsx أو من ملصق المنتج. لا تحوّل بين النيء والمطبوخ دون معامل مُوثَّق.</t>
  </si>
  <si>
    <t xml:space="preserve">ID</t>
  </si>
  <si>
    <t xml:space="preserve">المجموعة</t>
  </si>
  <si>
    <t xml:space="preserve">الوصف (English)</t>
  </si>
  <si>
    <t xml:space="preserve">كربوهيدرات g</t>
  </si>
  <si>
    <t xml:space="preserve">سكريات g</t>
  </si>
  <si>
    <t xml:space="preserve">المصدر</t>
  </si>
  <si>
    <t xml:space="preserve">نشط</t>
  </si>
  <si>
    <t xml:space="preserve">P001</t>
  </si>
  <si>
    <t xml:space="preserve">نشويات وحبوب</t>
  </si>
  <si>
    <t xml:space="preserve">Rice, white, long-grain, regular, enriched, cooked</t>
  </si>
  <si>
    <t xml:space="preserve">مطبوخ</t>
  </si>
  <si>
    <t xml:space="preserve">USDA SR Legacy 2018-04 (NDB 20045 / FDC 168878)</t>
  </si>
  <si>
    <t xml:space="preserve">نعم</t>
  </si>
  <si>
    <t xml:space="preserve">P002</t>
  </si>
  <si>
    <t xml:space="preserve">أرز أبيض نيء</t>
  </si>
  <si>
    <t xml:space="preserve">Rice, white, long-grain, regular, raw, enriched</t>
  </si>
  <si>
    <t xml:space="preserve">نيء</t>
  </si>
  <si>
    <t xml:space="preserve">USDA SR Legacy 2018-04 (NDB 20044 / FDC 168877)</t>
  </si>
  <si>
    <t xml:space="preserve">P003</t>
  </si>
  <si>
    <t xml:space="preserve">أرز بني مطبوخ</t>
  </si>
  <si>
    <t xml:space="preserve">Rice, brown, long-grain, cooked (Includes foods for USDA's Food Distribution Program)</t>
  </si>
  <si>
    <t xml:space="preserve">USDA SR Legacy 2018-04 (NDB 20037 / FDC 169704)</t>
  </si>
  <si>
    <t xml:space="preserve">P004</t>
  </si>
  <si>
    <t xml:space="preserve">أرز بني نيء</t>
  </si>
  <si>
    <t xml:space="preserve">Rice, brown, long-grain, raw (Includes foods for USDA's Food Distribution Program)</t>
  </si>
  <si>
    <t xml:space="preserve">USDA SR Legacy 2018-04 (NDB 20036 / FDC 169703)</t>
  </si>
  <si>
    <t xml:space="preserve">P005</t>
  </si>
  <si>
    <t xml:space="preserve">معكرونة مطبوخة</t>
  </si>
  <si>
    <t xml:space="preserve">Pasta, cooked, enriched, without added salt</t>
  </si>
  <si>
    <t xml:space="preserve">USDA SR Legacy 2018-04 (NDB 20121 / FDC 169737)</t>
  </si>
  <si>
    <t xml:space="preserve">P006</t>
  </si>
  <si>
    <t xml:space="preserve">معكرونة جافة</t>
  </si>
  <si>
    <t xml:space="preserve">Pasta, dry, enriched</t>
  </si>
  <si>
    <t xml:space="preserve">مجفّف/جاف</t>
  </si>
  <si>
    <t xml:space="preserve">USDA SR Legacy 2018-04 (NDB 20120 / FDC 169736)</t>
  </si>
  <si>
    <t xml:space="preserve">P007</t>
  </si>
  <si>
    <t xml:space="preserve">معكرونة قمح كامل مطبوخة</t>
  </si>
  <si>
    <t xml:space="preserve">Pasta, whole-wheat, cooked (Includes foods for USDA's Food Distribution Program)</t>
  </si>
  <si>
    <t xml:space="preserve">USDA SR Legacy 2018-04 (NDB 20125 / FDC 168910)</t>
  </si>
  <si>
    <t xml:space="preserve">P008</t>
  </si>
  <si>
    <t xml:space="preserve">كسكس مطبوخ</t>
  </si>
  <si>
    <t xml:space="preserve">Couscous, cooked</t>
  </si>
  <si>
    <t xml:space="preserve">USDA SR Legacy 2018-04 (NDB 20029 / FDC 169700)</t>
  </si>
  <si>
    <t xml:space="preserve">P009</t>
  </si>
  <si>
    <t xml:space="preserve">برغل مطبوخ</t>
  </si>
  <si>
    <t xml:space="preserve">Bulgur, cooked</t>
  </si>
  <si>
    <t xml:space="preserve">USDA SR Legacy 2018-04 (NDB 20013 / FDC 170287)</t>
  </si>
  <si>
    <t xml:space="preserve">P010</t>
  </si>
  <si>
    <t xml:space="preserve">برغل جاف</t>
  </si>
  <si>
    <t xml:space="preserve">Bulgur, dry</t>
  </si>
  <si>
    <t xml:space="preserve">USDA SR Legacy 2018-04 (NDB 20012 / FDC 170688)</t>
  </si>
  <si>
    <t xml:space="preserve">P011</t>
  </si>
  <si>
    <t xml:space="preserve">كينوا مطبوخة</t>
  </si>
  <si>
    <t xml:space="preserve">Quinoa, cooked</t>
  </si>
  <si>
    <t xml:space="preserve">USDA SR Legacy 2018-04 (NDB 20137 / FDC 168917)</t>
  </si>
  <si>
    <t xml:space="preserve">P012</t>
  </si>
  <si>
    <t xml:space="preserve">Cereals, oats, regular and quick, not fortified, dry</t>
  </si>
  <si>
    <t xml:space="preserve">USDA SR Legacy 2018-04 (NDB 8120 / FDC 173904)</t>
  </si>
  <si>
    <t xml:space="preserve">P013</t>
  </si>
  <si>
    <t xml:space="preserve">شوفان مطبوخ بالماء</t>
  </si>
  <si>
    <t xml:space="preserve">Cereals, oats, regular and quick, unenriched, cooked with water (includes boiling and microwaving), without salt</t>
  </si>
  <si>
    <t xml:space="preserve">USDA SR Legacy 2018-04 (NDB 8121 / FDC 173905)</t>
  </si>
  <si>
    <t xml:space="preserve">P014</t>
  </si>
  <si>
    <t xml:space="preserve">خبز أبيض (شريحة توست)</t>
  </si>
  <si>
    <t xml:space="preserve">Bread, white, commercially prepared (includes soft bread crumbs)</t>
  </si>
  <si>
    <t xml:space="preserve">غير محدد</t>
  </si>
  <si>
    <t xml:space="preserve">USDA SR Legacy 2018-04 (NDB 18069 / FDC 174924)</t>
  </si>
  <si>
    <t xml:space="preserve">P015</t>
  </si>
  <si>
    <t xml:space="preserve">خبز قمح كامل</t>
  </si>
  <si>
    <t xml:space="preserve">Bread, whole-wheat, commercially prepared</t>
  </si>
  <si>
    <t xml:space="preserve">USDA SR Legacy 2018-04 (NDB 18075 / FDC 172688)</t>
  </si>
  <si>
    <t xml:space="preserve">P016</t>
  </si>
  <si>
    <t xml:space="preserve">Bread, pita, white, enriched</t>
  </si>
  <si>
    <t xml:space="preserve">USDA SR Legacy 2018-04 (NDB 18041 / FDC 174915)</t>
  </si>
  <si>
    <t xml:space="preserve">P017</t>
  </si>
  <si>
    <t xml:space="preserve">خبز بيتا (عربي) قمح كامل</t>
  </si>
  <si>
    <t xml:space="preserve">Bread, pita, whole-wheat</t>
  </si>
  <si>
    <t xml:space="preserve">USDA SR Legacy 2018-04 (NDB 18042 / FDC 174916)</t>
  </si>
  <si>
    <t xml:space="preserve">P018</t>
  </si>
  <si>
    <t xml:space="preserve">تورتيلا دقيق</t>
  </si>
  <si>
    <t xml:space="preserve">Tortillas, ready-to-bake or -fry, flour, without added calcium</t>
  </si>
  <si>
    <t xml:space="preserve">USDA SR Legacy 2018-04 (NDB 18450 / FDC 173242)</t>
  </si>
  <si>
    <t xml:space="preserve">P019</t>
  </si>
  <si>
    <t xml:space="preserve">بطاطس مسلوقة (بدون قشر)</t>
  </si>
  <si>
    <t xml:space="preserve">Potatoes, boiled, cooked without skin, flesh, without salt</t>
  </si>
  <si>
    <t xml:space="preserve">USDA SR Legacy 2018-04 (NDB 11367 / FDC 170440)</t>
  </si>
  <si>
    <t xml:space="preserve">P020</t>
  </si>
  <si>
    <t xml:space="preserve">بطاطس مشوية (مع القشر)</t>
  </si>
  <si>
    <t xml:space="preserve">Potatoes, baked, flesh and skin, without salt</t>
  </si>
  <si>
    <t xml:space="preserve">USDA SR Legacy 2018-04 (NDB 11674 / FDC 170093)</t>
  </si>
  <si>
    <t xml:space="preserve">P021</t>
  </si>
  <si>
    <t xml:space="preserve">Sweet potato, cooked, baked in skin, flesh, without salt</t>
  </si>
  <si>
    <t xml:space="preserve">USDA SR Legacy 2018-04 (NDB 11508 / FDC 168483)</t>
  </si>
  <si>
    <t xml:space="preserve">P022</t>
  </si>
  <si>
    <t xml:space="preserve">بطاطا حلوة مسلوقة</t>
  </si>
  <si>
    <t xml:space="preserve">Sweet potato, cooked, boiled, without skin</t>
  </si>
  <si>
    <t xml:space="preserve">USDA SR Legacy 2018-04 (NDB 11510 / FDC 168484)</t>
  </si>
  <si>
    <t xml:space="preserve">P023</t>
  </si>
  <si>
    <t xml:space="preserve">ذرة حلوة مسلوقة</t>
  </si>
  <si>
    <t xml:space="preserve">Corn, sweet, yellow, cooked, boiled, drained, without salt</t>
  </si>
  <si>
    <t xml:space="preserve">USDA SR Legacy 2018-04 (NDB 11168 / FDC 169999)</t>
  </si>
  <si>
    <t xml:space="preserve">P024</t>
  </si>
  <si>
    <t xml:space="preserve">رقائق الذرة (كورن فليكس — علامة تجارية)</t>
  </si>
  <si>
    <t xml:space="preserve">Cereals ready-to-eat, RALSTON Corn Flakes</t>
  </si>
  <si>
    <t xml:space="preserve">USDA SR Legacy 2018-04 (NDB 8506 / FDC 174648)</t>
  </si>
  <si>
    <t xml:space="preserve">P025</t>
  </si>
  <si>
    <t xml:space="preserve">بقوليات</t>
  </si>
  <si>
    <t xml:space="preserve">عدس مسلوق</t>
  </si>
  <si>
    <t xml:space="preserve">Lentils, mature seeds, cooked, boiled, without salt</t>
  </si>
  <si>
    <t xml:space="preserve">USDA SR Legacy 2018-04 (NDB 16070 / FDC 172421)</t>
  </si>
  <si>
    <t xml:space="preserve">P026</t>
  </si>
  <si>
    <t xml:space="preserve">عدس جاف</t>
  </si>
  <si>
    <t xml:space="preserve">Lentils, raw</t>
  </si>
  <si>
    <t xml:space="preserve">USDA SR Legacy 2018-04 (NDB 16069 / FDC 172420)</t>
  </si>
  <si>
    <t xml:space="preserve">P027</t>
  </si>
  <si>
    <t xml:space="preserve">حمص مسلوق</t>
  </si>
  <si>
    <t xml:space="preserve">Chickpeas (garbanzo beans, bengal gram), mature seeds, cooked, boiled, without salt</t>
  </si>
  <si>
    <t xml:space="preserve">USDA SR Legacy 2018-04 (NDB 16057 / FDC 173757)</t>
  </si>
  <si>
    <t xml:space="preserve">P028</t>
  </si>
  <si>
    <t xml:space="preserve">فاصوليا حمراء (كيدني) مسلوقة</t>
  </si>
  <si>
    <t xml:space="preserve">Beans, kidney, red, mature seeds, cooked, boiled, without salt</t>
  </si>
  <si>
    <t xml:space="preserve">USDA SR Legacy 2018-04 (NDB 16033 / FDC 175194)</t>
  </si>
  <si>
    <t xml:space="preserve">P029</t>
  </si>
  <si>
    <t xml:space="preserve">فاصوليا سوداء مسلوقة</t>
  </si>
  <si>
    <t xml:space="preserve">Beans, black, mature seeds, cooked, boiled, without salt</t>
  </si>
  <si>
    <t xml:space="preserve">USDA SR Legacy 2018-04 (NDB 16015 / FDC 173735)</t>
  </si>
  <si>
    <t xml:space="preserve">P030</t>
  </si>
  <si>
    <t xml:space="preserve">فاصوليا بيضاء مسلوقة</t>
  </si>
  <si>
    <t xml:space="preserve">Beans, white, mature seeds, cooked, boiled, without salt</t>
  </si>
  <si>
    <t xml:space="preserve">USDA SR Legacy 2018-04 (NDB 16050 / FDC 175203)</t>
  </si>
  <si>
    <t xml:space="preserve">P031</t>
  </si>
  <si>
    <t xml:space="preserve">فول (حب) مسلوق</t>
  </si>
  <si>
    <t xml:space="preserve">Broadbeans (fava beans), mature seeds, cooked, boiled, without salt</t>
  </si>
  <si>
    <t xml:space="preserve">USDA SR Legacy 2018-04 (NDB 16053 / FDC 173753)</t>
  </si>
  <si>
    <t xml:space="preserve">P032</t>
  </si>
  <si>
    <t xml:space="preserve">لوبيا مسلوقة</t>
  </si>
  <si>
    <t xml:space="preserve">Cowpeas, common (blackeyes, crowder, southern), mature seeds, cooked, boiled, without salt</t>
  </si>
  <si>
    <t xml:space="preserve">USDA SR Legacy 2018-04 (NDB 16063 / FDC 173759)</t>
  </si>
  <si>
    <t xml:space="preserve">P033</t>
  </si>
  <si>
    <t xml:space="preserve">حمص بالطحينة (هوموس)</t>
  </si>
  <si>
    <t xml:space="preserve">Hummus, commercial</t>
  </si>
  <si>
    <t xml:space="preserve">USDA SR Legacy 2018-04 (NDB 16158 / FDC 174289)</t>
  </si>
  <si>
    <t xml:space="preserve">P034</t>
  </si>
  <si>
    <t xml:space="preserve">فلافل</t>
  </si>
  <si>
    <t xml:space="preserve">Falafel, home-prepared</t>
  </si>
  <si>
    <t xml:space="preserve">USDA SR Legacy 2018-04 (NDB 16138 / FDC 172455)</t>
  </si>
  <si>
    <t xml:space="preserve">P035</t>
  </si>
  <si>
    <t xml:space="preserve">Chicken, broilers or fryers, breast, meat only, cooked, roasted</t>
  </si>
  <si>
    <t xml:space="preserve">USDA SR Legacy 2018-04 (NDB 5064 / FDC 171477)</t>
  </si>
  <si>
    <t xml:space="preserve">P036</t>
  </si>
  <si>
    <t xml:space="preserve">فخذ دجاج بلا جلد مشوي</t>
  </si>
  <si>
    <t xml:space="preserve">Chicken, broilers or fryers, thigh, meat only, cooked, roasted</t>
  </si>
  <si>
    <t xml:space="preserve">USDA SR Legacy 2018-04 (NDB 5098 / FDC 172388)</t>
  </si>
  <si>
    <t xml:space="preserve">P037</t>
  </si>
  <si>
    <t xml:space="preserve">صدر ديك رومي مشوي</t>
  </si>
  <si>
    <t xml:space="preserve">Turkey, whole, breast, meat only, cooked, roasted</t>
  </si>
  <si>
    <t xml:space="preserve">USDA SR Legacy 2018-04 (NDB 5220 / FDC 171496)</t>
  </si>
  <si>
    <t xml:space="preserve">P038</t>
  </si>
  <si>
    <t xml:space="preserve">لحم بقري مفروم 90/10 مطبوخ</t>
  </si>
  <si>
    <t xml:space="preserve">Beef, ground, 90% lean meat / 10% fat, patty, cooked, broiled</t>
  </si>
  <si>
    <t xml:space="preserve">USDA SR Legacy 2018-04 (NDB 23563 / FDC 174031)</t>
  </si>
  <si>
    <t xml:space="preserve">P039</t>
  </si>
  <si>
    <t xml:space="preserve">لحم بقري مفروم 80/20 مطبوخ</t>
  </si>
  <si>
    <t xml:space="preserve">Beef, ground, 80% lean meat / 20% fat, patty, cooked, broiled</t>
  </si>
  <si>
    <t xml:space="preserve">USDA SR Legacy 2018-04 (NDB 23573 / FDC 171797)</t>
  </si>
  <si>
    <t xml:space="preserve">P040</t>
  </si>
  <si>
    <t xml:space="preserve">ستيك بقري قليل الدهن مشوي</t>
  </si>
  <si>
    <t xml:space="preserve">Beef, top sirloin, steak, separable lean only, trimmed to 0" fat, choice, cooked, broiled</t>
  </si>
  <si>
    <t xml:space="preserve">USDA SR Legacy 2018-04 (NDB 13455 / FDC 168635)</t>
  </si>
  <si>
    <t xml:space="preserve">P041</t>
  </si>
  <si>
    <t xml:space="preserve">لحم غنم (ساق) قليل الدهن مشوي</t>
  </si>
  <si>
    <t xml:space="preserve">Lamb, leg, shank half, separable lean only, trimmed to 1/4" fat, choice, cooked, roasted</t>
  </si>
  <si>
    <t xml:space="preserve">USDA SR Legacy 2018-04 (NDB 17018 / FDC 172487)</t>
  </si>
  <si>
    <t xml:space="preserve">P042</t>
  </si>
  <si>
    <t xml:space="preserve">Egg, whole, cooked, hard-boiled</t>
  </si>
  <si>
    <t xml:space="preserve">USDA SR Legacy 2018-04 (NDB 1129 / FDC 173424)</t>
  </si>
  <si>
    <t xml:space="preserve">P043</t>
  </si>
  <si>
    <t xml:space="preserve">بيض كامل نيء</t>
  </si>
  <si>
    <t xml:space="preserve">Egg, whole, raw, fresh</t>
  </si>
  <si>
    <t xml:space="preserve">USDA SR Legacy 2018-04 (NDB 1123 / FDC 171287)</t>
  </si>
  <si>
    <t xml:space="preserve">P044</t>
  </si>
  <si>
    <t xml:space="preserve">بياض بيض نيء</t>
  </si>
  <si>
    <t xml:space="preserve">Egg, white, raw, fresh</t>
  </si>
  <si>
    <t xml:space="preserve">USDA SR Legacy 2018-04 (NDB 1124 / FDC 172183)</t>
  </si>
  <si>
    <t xml:space="preserve">P045</t>
  </si>
  <si>
    <t xml:space="preserve">تونة معلبة بالماء</t>
  </si>
  <si>
    <t xml:space="preserve">Fish, tuna, light, canned in water, drained solids (Includes foods for USDA's Food Distribution Program)</t>
  </si>
  <si>
    <t xml:space="preserve">معلّب</t>
  </si>
  <si>
    <t xml:space="preserve">USDA SR Legacy 2018-04 (NDB 15121 / FDC 173709)</t>
  </si>
  <si>
    <t xml:space="preserve">P046</t>
  </si>
  <si>
    <t xml:space="preserve">تونة معلبة بالزيت</t>
  </si>
  <si>
    <t xml:space="preserve">Fish, tuna, light, canned in oil, drained solids</t>
  </si>
  <si>
    <t xml:space="preserve">USDA SR Legacy 2018-04 (NDB 15119 / FDC 173708)</t>
  </si>
  <si>
    <t xml:space="preserve">P047</t>
  </si>
  <si>
    <t xml:space="preserve">Fish, salmon, Atlantic, farmed, cooked, dry heat</t>
  </si>
  <si>
    <t xml:space="preserve">USDA SR Legacy 2018-04 (NDB 15237 / FDC 175168)</t>
  </si>
  <si>
    <t xml:space="preserve">P048</t>
  </si>
  <si>
    <t xml:space="preserve">بلطي مطبوخ</t>
  </si>
  <si>
    <t xml:space="preserve">Fish, tilapia, cooked, dry heat</t>
  </si>
  <si>
    <t xml:space="preserve">USDA SR Legacy 2018-04 (NDB 15262 / FDC 175177)</t>
  </si>
  <si>
    <t xml:space="preserve">P049</t>
  </si>
  <si>
    <t xml:space="preserve">سمك قد مطبوخ</t>
  </si>
  <si>
    <t xml:space="preserve">Fish, cod, Atlantic, cooked, dry heat</t>
  </si>
  <si>
    <t xml:space="preserve">USDA SR Legacy 2018-04 (NDB 15016 / FDC 171956)</t>
  </si>
  <si>
    <t xml:space="preserve">P050</t>
  </si>
  <si>
    <t xml:space="preserve">روبيان (جمبري) مطبوخ</t>
  </si>
  <si>
    <t xml:space="preserve">Crustaceans, shrimp, mixed species, cooked, moist heat (may contain additives to retain moisture)</t>
  </si>
  <si>
    <t xml:space="preserve">USDA SR Legacy 2018-04 (NDB 15151 / FDC 171971)</t>
  </si>
  <si>
    <t xml:space="preserve">P051</t>
  </si>
  <si>
    <t xml:space="preserve">سردين معلب بالزيت</t>
  </si>
  <si>
    <t xml:space="preserve">Fish, sardine, Atlantic, canned in oil, drained solids with bone</t>
  </si>
  <si>
    <t xml:space="preserve">USDA SR Legacy 2018-04 (NDB 15088 / FDC 175139)</t>
  </si>
  <si>
    <t xml:space="preserve">P052</t>
  </si>
  <si>
    <t xml:space="preserve">Beverages, Protein powder whey based</t>
  </si>
  <si>
    <t xml:space="preserve">USDA SR Legacy 2018-04 (NDB 14066 / FDC 173180)</t>
  </si>
  <si>
    <t xml:space="preserve">P053</t>
  </si>
  <si>
    <t xml:space="preserve">ألبان</t>
  </si>
  <si>
    <t xml:space="preserve">جبنة قريش 2%</t>
  </si>
  <si>
    <t xml:space="preserve">Cheese, cottage, lowfat, 2% milkfat</t>
  </si>
  <si>
    <t xml:space="preserve">USDA SR Legacy 2018-04 (NDB 1015 / FDC 172182)</t>
  </si>
  <si>
    <t xml:space="preserve">P054</t>
  </si>
  <si>
    <t xml:space="preserve">جبنة موزاريلا جزئية الدسم</t>
  </si>
  <si>
    <t xml:space="preserve">Cheese, mozzarella, part skim milk</t>
  </si>
  <si>
    <t xml:space="preserve">USDA SR Legacy 2018-04 (NDB 1028 / FDC 170847)</t>
  </si>
  <si>
    <t xml:space="preserve">P055</t>
  </si>
  <si>
    <t xml:space="preserve">جبنة شيدر</t>
  </si>
  <si>
    <t xml:space="preserve">Cheese, cheddar (Includes foods for USDA's Food Distribution Program)</t>
  </si>
  <si>
    <t xml:space="preserve">USDA SR Legacy 2018-04 (NDB 1009 / FDC 173414)</t>
  </si>
  <si>
    <t xml:space="preserve">P056</t>
  </si>
  <si>
    <t xml:space="preserve">حليب خالي الدسم</t>
  </si>
  <si>
    <t xml:space="preserve">Milk, nonfat, fluid, with added vitamin A and vitamin D (fat free or skim)</t>
  </si>
  <si>
    <t xml:space="preserve">USDA SR Legacy 2018-04 (NDB 1085 / FDC 171269)</t>
  </si>
  <si>
    <t xml:space="preserve">P057</t>
  </si>
  <si>
    <t xml:space="preserve">حليب قليل الدسم 2%</t>
  </si>
  <si>
    <t xml:space="preserve">Milk, reduced fat, fluid, 2% milkfat, with added vitamin A and vitamin D</t>
  </si>
  <si>
    <t xml:space="preserve">USDA SR Legacy 2018-04 (NDB 1079 / FDC 171267)</t>
  </si>
  <si>
    <t xml:space="preserve">P058</t>
  </si>
  <si>
    <t xml:space="preserve">حليب كامل الدسم</t>
  </si>
  <si>
    <t xml:space="preserve">Milk, whole, 3.25% milkfat, with added vitamin D</t>
  </si>
  <si>
    <t xml:space="preserve">USDA SR Legacy 2018-04 (NDB 1077 / FDC 171265)</t>
  </si>
  <si>
    <t xml:space="preserve">P059</t>
  </si>
  <si>
    <t xml:space="preserve">Yogurt, Greek, plain, nonfat (Includes foods for USDA's Food Distribution Program)</t>
  </si>
  <si>
    <t xml:space="preserve">USDA SR Legacy 2018-04 (NDB 1256 / FDC 170894)</t>
  </si>
  <si>
    <t xml:space="preserve">P060</t>
  </si>
  <si>
    <t xml:space="preserve">زبادي سادة قليل الدسم</t>
  </si>
  <si>
    <t xml:space="preserve">Yogurt, plain, low fat</t>
  </si>
  <si>
    <t xml:space="preserve">USDA SR Legacy 2018-04 (NDB 1117 / FDC 170886)</t>
  </si>
  <si>
    <t xml:space="preserve">P061</t>
  </si>
  <si>
    <t xml:space="preserve">زبادي سادة كامل الدسم</t>
  </si>
  <si>
    <t xml:space="preserve">Yogurt, plain, whole milk</t>
  </si>
  <si>
    <t xml:space="preserve">USDA SR Legacy 2018-04 (NDB 1116 / FDC 171284)</t>
  </si>
  <si>
    <t xml:space="preserve">P062</t>
  </si>
  <si>
    <t xml:space="preserve">لبن رائب (مخيض) قليل الدسم</t>
  </si>
  <si>
    <t xml:space="preserve">Milk, buttermilk, fluid, cultured, lowfat</t>
  </si>
  <si>
    <t xml:space="preserve">USDA SR Legacy 2018-04 (NDB 1088 / FDC 170874)</t>
  </si>
  <si>
    <t xml:space="preserve">P063</t>
  </si>
  <si>
    <t xml:space="preserve">دهون ومكسرات</t>
  </si>
  <si>
    <t xml:space="preserve">Oil, olive, salad or cooking</t>
  </si>
  <si>
    <t xml:space="preserve">USDA SR Legacy 2018-04 (NDB 4053 / FDC 171413)</t>
  </si>
  <si>
    <t xml:space="preserve">P064</t>
  </si>
  <si>
    <t xml:space="preserve">زيت كانولا</t>
  </si>
  <si>
    <t xml:space="preserve">Oil, canola</t>
  </si>
  <si>
    <t xml:space="preserve">USDA SR Legacy 2018-04 (NDB 4582 / FDC 172336)</t>
  </si>
  <si>
    <t xml:space="preserve">P065</t>
  </si>
  <si>
    <t xml:space="preserve">زيت جوز الهند</t>
  </si>
  <si>
    <t xml:space="preserve">Oil, coconut</t>
  </si>
  <si>
    <t xml:space="preserve">USDA SR Legacy 2018-04 (NDB 4047 / FDC 171412)</t>
  </si>
  <si>
    <t xml:space="preserve">P066</t>
  </si>
  <si>
    <t xml:space="preserve">زبدة (مملحة)</t>
  </si>
  <si>
    <t xml:space="preserve">Butter, salted</t>
  </si>
  <si>
    <t xml:space="preserve">USDA SR Legacy 2018-04 (NDB 1001 / FDC 173410)</t>
  </si>
  <si>
    <t xml:space="preserve">P067</t>
  </si>
  <si>
    <t xml:space="preserve">سمن (زبدة مصفاة)</t>
  </si>
  <si>
    <t xml:space="preserve">Butter oil, anhydrous</t>
  </si>
  <si>
    <t xml:space="preserve">USDA SR Legacy 2018-04 (NDB 1003 / FDC 173412)</t>
  </si>
  <si>
    <t xml:space="preserve">P068</t>
  </si>
  <si>
    <t xml:space="preserve">زبدة الفول السوداني</t>
  </si>
  <si>
    <t xml:space="preserve">Peanut butter, smooth style, with salt (Includes foods for USDA's Food Distribution Program)</t>
  </si>
  <si>
    <t xml:space="preserve">USDA SR Legacy 2018-04 (NDB 16098 / FDC 174266)</t>
  </si>
  <si>
    <t xml:space="preserve">P069</t>
  </si>
  <si>
    <t xml:space="preserve">طحينة</t>
  </si>
  <si>
    <t xml:space="preserve">Seeds, sesame butter, tahini, from raw and stone ground kernels</t>
  </si>
  <si>
    <t xml:space="preserve">USDA SR Legacy 2018-04 (NDB 12198 / FDC 169410)</t>
  </si>
  <si>
    <t xml:space="preserve">P070</t>
  </si>
  <si>
    <t xml:space="preserve">لوز</t>
  </si>
  <si>
    <t xml:space="preserve">Nuts, almonds</t>
  </si>
  <si>
    <t xml:space="preserve">USDA SR Legacy 2018-04 (NDB 12061 / FDC 170567)</t>
  </si>
  <si>
    <t xml:space="preserve">P071</t>
  </si>
  <si>
    <t xml:space="preserve">جوز</t>
  </si>
  <si>
    <t xml:space="preserve">Nuts, walnuts, english</t>
  </si>
  <si>
    <t xml:space="preserve">USDA SR Legacy 2018-04 (NDB 12155 / FDC 170187)</t>
  </si>
  <si>
    <t xml:space="preserve">P072</t>
  </si>
  <si>
    <t xml:space="preserve">كاجو نيء</t>
  </si>
  <si>
    <t xml:space="preserve">Nuts, cashew nuts, raw</t>
  </si>
  <si>
    <t xml:space="preserve">USDA SR Legacy 2018-04 (NDB 12087 / FDC 170162)</t>
  </si>
  <si>
    <t xml:space="preserve">P073</t>
  </si>
  <si>
    <t xml:space="preserve">فستق حلبي نيء</t>
  </si>
  <si>
    <t xml:space="preserve">Nuts, pistachio nuts, raw</t>
  </si>
  <si>
    <t xml:space="preserve">USDA SR Legacy 2018-04 (NDB 12151 / FDC 170184)</t>
  </si>
  <si>
    <t xml:space="preserve">P074</t>
  </si>
  <si>
    <t xml:space="preserve">فول سوداني نيء</t>
  </si>
  <si>
    <t xml:space="preserve">Peanuts, all types, raw</t>
  </si>
  <si>
    <t xml:space="preserve">USDA SR Legacy 2018-04 (NDB 16087 / FDC 172430)</t>
  </si>
  <si>
    <t xml:space="preserve">P075</t>
  </si>
  <si>
    <t xml:space="preserve">أفوكادو</t>
  </si>
  <si>
    <t xml:space="preserve">Avocados, raw, all commercial varieties</t>
  </si>
  <si>
    <t xml:space="preserve">USDA SR Legacy 2018-04 (NDB 9037 / FDC 171705)</t>
  </si>
  <si>
    <t xml:space="preserve">P076</t>
  </si>
  <si>
    <t xml:space="preserve">بذور الشيا</t>
  </si>
  <si>
    <t xml:space="preserve">Seeds, chia seeds, dried</t>
  </si>
  <si>
    <t xml:space="preserve">USDA SR Legacy 2018-04 (NDB 12006 / FDC 170554)</t>
  </si>
  <si>
    <t xml:space="preserve">P077</t>
  </si>
  <si>
    <t xml:space="preserve">زيتون أسود معلب</t>
  </si>
  <si>
    <t xml:space="preserve">Olives, ripe, canned (small-extra large)</t>
  </si>
  <si>
    <t xml:space="preserve">USDA SR Legacy 2018-04 (NDB 9193 / FDC 169094)</t>
  </si>
  <si>
    <t xml:space="preserve">P078</t>
  </si>
  <si>
    <t xml:space="preserve">فواكه وسكريات</t>
  </si>
  <si>
    <t xml:space="preserve">Bananas, raw</t>
  </si>
  <si>
    <t xml:space="preserve">USDA SR Legacy 2018-04 (NDB 9040 / FDC 173944)</t>
  </si>
  <si>
    <t xml:space="preserve">P079</t>
  </si>
  <si>
    <t xml:space="preserve">تفاح بقشره</t>
  </si>
  <si>
    <t xml:space="preserve">Apples, raw, with skin (Includes foods for USDA's Food Distribution Program)</t>
  </si>
  <si>
    <t xml:space="preserve">USDA SR Legacy 2018-04 (NDB 9003 / FDC 171688)</t>
  </si>
  <si>
    <t xml:space="preserve">P080</t>
  </si>
  <si>
    <t xml:space="preserve">برتقال</t>
  </si>
  <si>
    <t xml:space="preserve">Oranges, raw, all commercial varieties</t>
  </si>
  <si>
    <t xml:space="preserve">USDA SR Legacy 2018-04 (NDB 9200 / FDC 169097)</t>
  </si>
  <si>
    <t xml:space="preserve">P081</t>
  </si>
  <si>
    <t xml:space="preserve">Dates, medjool</t>
  </si>
  <si>
    <t xml:space="preserve">USDA SR Legacy 2018-04 (NDB 9421 / FDC 168191)</t>
  </si>
  <si>
    <t xml:space="preserve">P082</t>
  </si>
  <si>
    <t xml:space="preserve">تمر دقلة نور</t>
  </si>
  <si>
    <t xml:space="preserve">Dates, deglet noor</t>
  </si>
  <si>
    <t xml:space="preserve">USDA SR Legacy 2018-04 (NDB 9087 / FDC 171726)</t>
  </si>
  <si>
    <t xml:space="preserve">P083</t>
  </si>
  <si>
    <t xml:space="preserve">عنب</t>
  </si>
  <si>
    <t xml:space="preserve">Grapes, red or green (European type, such as Thompson seedless), raw</t>
  </si>
  <si>
    <t xml:space="preserve">USDA SR Legacy 2018-04 (NDB 9132 / FDC 174683)</t>
  </si>
  <si>
    <t xml:space="preserve">P084</t>
  </si>
  <si>
    <t xml:space="preserve">بطيخ</t>
  </si>
  <si>
    <t xml:space="preserve">Watermelon, raw</t>
  </si>
  <si>
    <t xml:space="preserve">USDA SR Legacy 2018-04 (NDB 9326 / FDC 167765)</t>
  </si>
  <si>
    <t xml:space="preserve">P085</t>
  </si>
  <si>
    <t xml:space="preserve">شمام (كانتالوب)</t>
  </si>
  <si>
    <t xml:space="preserve">Melons, cantaloupe, raw</t>
  </si>
  <si>
    <t xml:space="preserve">USDA SR Legacy 2018-04 (NDB 9181 / FDC 169092)</t>
  </si>
  <si>
    <t xml:space="preserve">P086</t>
  </si>
  <si>
    <t xml:space="preserve">فراولة</t>
  </si>
  <si>
    <t xml:space="preserve">Strawberries, raw</t>
  </si>
  <si>
    <t xml:space="preserve">USDA SR Legacy 2018-04 (NDB 9316 / FDC 167762)</t>
  </si>
  <si>
    <t xml:space="preserve">P087</t>
  </si>
  <si>
    <t xml:space="preserve">مانجو</t>
  </si>
  <si>
    <t xml:space="preserve">Mangos, raw</t>
  </si>
  <si>
    <t xml:space="preserve">USDA SR Legacy 2018-04 (NDB 9176 / FDC 169910)</t>
  </si>
  <si>
    <t xml:space="preserve">P088</t>
  </si>
  <si>
    <t xml:space="preserve">كمثرى</t>
  </si>
  <si>
    <t xml:space="preserve">Pears, raw</t>
  </si>
  <si>
    <t xml:space="preserve">USDA SR Legacy 2018-04 (NDB 9252 / FDC 169118)</t>
  </si>
  <si>
    <t xml:space="preserve">P089</t>
  </si>
  <si>
    <t xml:space="preserve">أناناس</t>
  </si>
  <si>
    <t xml:space="preserve">Pineapple, raw, all varieties</t>
  </si>
  <si>
    <t xml:space="preserve">USDA SR Legacy 2018-04 (NDB 9266 / FDC 169124)</t>
  </si>
  <si>
    <t xml:space="preserve">P090</t>
  </si>
  <si>
    <t xml:space="preserve">رمان</t>
  </si>
  <si>
    <t xml:space="preserve">Pomegranates, raw</t>
  </si>
  <si>
    <t xml:space="preserve">USDA SR Legacy 2018-04 (NDB 9286 / FDC 169134)</t>
  </si>
  <si>
    <t xml:space="preserve">P091</t>
  </si>
  <si>
    <t xml:space="preserve">تين طازج</t>
  </si>
  <si>
    <t xml:space="preserve">Figs, raw</t>
  </si>
  <si>
    <t xml:space="preserve">USDA SR Legacy 2018-04 (NDB 9089 / FDC 173021)</t>
  </si>
  <si>
    <t xml:space="preserve">P092</t>
  </si>
  <si>
    <t xml:space="preserve">كيوي</t>
  </si>
  <si>
    <t xml:space="preserve">Kiwifruit, green, raw</t>
  </si>
  <si>
    <t xml:space="preserve">USDA SR Legacy 2018-04 (NDB 9148 / FDC 168153)</t>
  </si>
  <si>
    <t xml:space="preserve">P093</t>
  </si>
  <si>
    <t xml:space="preserve">توت أزرق</t>
  </si>
  <si>
    <t xml:space="preserve">Blueberries, raw</t>
  </si>
  <si>
    <t xml:space="preserve">USDA SR Legacy 2018-04 (NDB 9050 / FDC 171711)</t>
  </si>
  <si>
    <t xml:space="preserve">P094</t>
  </si>
  <si>
    <t xml:space="preserve">زبيب</t>
  </si>
  <si>
    <t xml:space="preserve">Raisins, dark, seedless (Includes foods for USDA's Food Distribution Program)</t>
  </si>
  <si>
    <t xml:space="preserve">USDA SR Legacy 2018-04 (NDB 9298 / FDC 168165)</t>
  </si>
  <si>
    <t xml:space="preserve">P095</t>
  </si>
  <si>
    <t xml:space="preserve">عصير برتقال طازج</t>
  </si>
  <si>
    <t xml:space="preserve">Orange juice, raw (Includes foods for USDA's Food Distribution Program)</t>
  </si>
  <si>
    <t xml:space="preserve">USDA SR Legacy 2018-04 (NDB 9206 / FDC 169098)</t>
  </si>
  <si>
    <t xml:space="preserve">P096</t>
  </si>
  <si>
    <t xml:space="preserve">عسل</t>
  </si>
  <si>
    <t xml:space="preserve">Honey</t>
  </si>
  <si>
    <t xml:space="preserve">USDA SR Legacy 2018-04 (NDB 19296 / FDC 169640)</t>
  </si>
  <si>
    <t xml:space="preserve">P097</t>
  </si>
  <si>
    <t xml:space="preserve">سكر أبيض</t>
  </si>
  <si>
    <t xml:space="preserve">Sugars, granulated</t>
  </si>
  <si>
    <t xml:space="preserve">USDA SR Legacy 2018-04 (NDB 19335 / FDC 169655)</t>
  </si>
  <si>
    <t xml:space="preserve">P098</t>
  </si>
  <si>
    <t xml:space="preserve">مربى</t>
  </si>
  <si>
    <t xml:space="preserve">Jams and preserves</t>
  </si>
  <si>
    <t xml:space="preserve">USDA SR Legacy 2018-04 (NDB 19297 / FDC 169641)</t>
  </si>
  <si>
    <t xml:space="preserve">P099</t>
  </si>
  <si>
    <t xml:space="preserve">شوكولاتة داكنة (45–85% كاكاو)</t>
  </si>
  <si>
    <t xml:space="preserve">Candies, chocolate, dark, NFS (45-59% cacao solids 90%; 60-69% cacao solids 5%; 70-85% cacao solids 5%)</t>
  </si>
  <si>
    <t xml:space="preserve">USDA SR Legacy 2018-04 (NDB 19905 / FDC 170274)</t>
  </si>
  <si>
    <t xml:space="preserve">P100</t>
  </si>
  <si>
    <t xml:space="preserve">خضروات</t>
  </si>
  <si>
    <t xml:space="preserve">طماطم</t>
  </si>
  <si>
    <t xml:space="preserve">Tomatoes, red, ripe, raw, year round average</t>
  </si>
  <si>
    <t xml:space="preserve">USDA SR Legacy 2018-04 (NDB 11529 / FDC 170457)</t>
  </si>
  <si>
    <t xml:space="preserve">P101</t>
  </si>
  <si>
    <t xml:space="preserve">خيار بقشره</t>
  </si>
  <si>
    <t xml:space="preserve">Cucumber, with peel, raw</t>
  </si>
  <si>
    <t xml:space="preserve">USDA SR Legacy 2018-04 (NDB 11205 / FDC 168409)</t>
  </si>
  <si>
    <t xml:space="preserve">P102</t>
  </si>
  <si>
    <t xml:space="preserve">Lettuce, cos or romaine, raw</t>
  </si>
  <si>
    <t xml:space="preserve">USDA SR Legacy 2018-04 (NDB 11251 / FDC 169247)</t>
  </si>
  <si>
    <t xml:space="preserve">P103</t>
  </si>
  <si>
    <t xml:space="preserve">جرجير</t>
  </si>
  <si>
    <t xml:space="preserve">Arugula, raw</t>
  </si>
  <si>
    <t xml:space="preserve">USDA SR Legacy 2018-04 (NDB 11959 / FDC 169387)</t>
  </si>
  <si>
    <t xml:space="preserve">P104</t>
  </si>
  <si>
    <t xml:space="preserve">فلفل أخضر</t>
  </si>
  <si>
    <t xml:space="preserve">Peppers, sweet, green, raw</t>
  </si>
  <si>
    <t xml:space="preserve">USDA SR Legacy 2018-04 (NDB 11333 / FDC 170427)</t>
  </si>
  <si>
    <t xml:space="preserve">P105</t>
  </si>
  <si>
    <t xml:space="preserve">فلفل أحمر</t>
  </si>
  <si>
    <t xml:space="preserve">Peppers, sweet, red, raw</t>
  </si>
  <si>
    <t xml:space="preserve">USDA SR Legacy 2018-04 (NDB 11821 / FDC 170108)</t>
  </si>
  <si>
    <t xml:space="preserve">P106</t>
  </si>
  <si>
    <t xml:space="preserve">جزر نيء</t>
  </si>
  <si>
    <t xml:space="preserve">Carrots, raw</t>
  </si>
  <si>
    <t xml:space="preserve">USDA SR Legacy 2018-04 (NDB 11124 / FDC 170393)</t>
  </si>
  <si>
    <t xml:space="preserve">P107</t>
  </si>
  <si>
    <t xml:space="preserve">Broccoli, cooked, boiled, drained, without salt</t>
  </si>
  <si>
    <t xml:space="preserve">USDA SR Legacy 2018-04 (NDB 11091 / FDC 169967)</t>
  </si>
  <si>
    <t xml:space="preserve">P108</t>
  </si>
  <si>
    <t xml:space="preserve">سبانخ مسلوقة</t>
  </si>
  <si>
    <t xml:space="preserve">Spinach, cooked, boiled, drained, without salt</t>
  </si>
  <si>
    <t xml:space="preserve">USDA SR Legacy 2018-04 (NDB 11458 / FDC 168463)</t>
  </si>
  <si>
    <t xml:space="preserve">P109</t>
  </si>
  <si>
    <t xml:space="preserve">كوسا مسلوقة</t>
  </si>
  <si>
    <t xml:space="preserve">Squash, summer, zucchini, includes skin, cooked, boiled, drained, without salt</t>
  </si>
  <si>
    <t xml:space="preserve">USDA SR Legacy 2018-04 (NDB 11478 / FDC 169292)</t>
  </si>
  <si>
    <t xml:space="preserve">P110</t>
  </si>
  <si>
    <t xml:space="preserve">باذنجان مسلوق</t>
  </si>
  <si>
    <t xml:space="preserve">Eggplant, cooked, boiled, drained, without salt</t>
  </si>
  <si>
    <t xml:space="preserve">USDA SR Legacy 2018-04 (NDB 11210 / FDC 169229)</t>
  </si>
  <si>
    <t xml:space="preserve">P111</t>
  </si>
  <si>
    <t xml:space="preserve">بامية مسلوقة</t>
  </si>
  <si>
    <t xml:space="preserve">Okra, cooked, boiled, drained, without salt</t>
  </si>
  <si>
    <t xml:space="preserve">USDA SR Legacy 2018-04 (NDB 11279 / FDC 169261)</t>
  </si>
  <si>
    <t xml:space="preserve">P112</t>
  </si>
  <si>
    <t xml:space="preserve">ملوخية (جوت) مسلوقة</t>
  </si>
  <si>
    <t xml:space="preserve">Jute, potherb, cooked, boiled, drained, without salt</t>
  </si>
  <si>
    <t xml:space="preserve">USDA SR Legacy 2018-04 (NDB 11232 / FDC 168420)</t>
  </si>
  <si>
    <t xml:space="preserve">P113</t>
  </si>
  <si>
    <t xml:space="preserve">قرع مسلوق</t>
  </si>
  <si>
    <t xml:space="preserve">Pumpkin, cooked, boiled, drained, without salt</t>
  </si>
  <si>
    <t xml:space="preserve">USDA SR Legacy 2018-04 (NDB 11423 / FDC 168449)</t>
  </si>
  <si>
    <t xml:space="preserve">P114</t>
  </si>
  <si>
    <t xml:space="preserve">قرنبيط مسلوق</t>
  </si>
  <si>
    <t xml:space="preserve">Cauliflower, cooked, boiled, drained, without salt</t>
  </si>
  <si>
    <t xml:space="preserve">USDA SR Legacy 2018-04 (NDB 11136 / FDC 170397)</t>
  </si>
  <si>
    <t xml:space="preserve">P115</t>
  </si>
  <si>
    <t xml:space="preserve">فاصوليا خضراء مسلوقة</t>
  </si>
  <si>
    <t xml:space="preserve">Beans, snap, green, cooked, boiled, drained, without salt</t>
  </si>
  <si>
    <t xml:space="preserve">USDA SR Legacy 2018-04 (NDB 11053 / FDC 169141)</t>
  </si>
  <si>
    <t xml:space="preserve">P116</t>
  </si>
  <si>
    <t xml:space="preserve">بصل نيء</t>
  </si>
  <si>
    <t xml:space="preserve">Onions, raw</t>
  </si>
  <si>
    <t xml:space="preserve">USDA SR Legacy 2018-04 (NDB 11282 / FDC 170000)</t>
  </si>
  <si>
    <t xml:space="preserve">P117</t>
  </si>
  <si>
    <t xml:space="preserve">فطر أبيض نيء</t>
  </si>
  <si>
    <t xml:space="preserve">Mushrooms, white, raw</t>
  </si>
  <si>
    <t xml:space="preserve">USDA SR Legacy 2018-04 (NDB 11260 / FDC 169251)</t>
  </si>
  <si>
    <t xml:space="preserve">P118</t>
  </si>
  <si>
    <t xml:space="preserve">ملفوف نيء</t>
  </si>
  <si>
    <t xml:space="preserve">Cabbage, raw</t>
  </si>
  <si>
    <t xml:space="preserve">USDA SR Legacy 2018-04 (NDB 11109 / FDC 169975)</t>
  </si>
  <si>
    <t xml:space="preserve">P119</t>
  </si>
  <si>
    <t xml:space="preserve">مشروبات</t>
  </si>
  <si>
    <t xml:space="preserve">قهوة سوداء</t>
  </si>
  <si>
    <t xml:space="preserve">Beverages, coffee, brewed, prepared with tap water</t>
  </si>
  <si>
    <t xml:space="preserve">USDA SR Legacy 2018-04 (NDB 14209 / FDC 171890)</t>
  </si>
  <si>
    <t xml:space="preserve">P120</t>
  </si>
  <si>
    <t xml:space="preserve">شاي أسود</t>
  </si>
  <si>
    <t xml:space="preserve">Beverages, tea, black, brewed, prepared with tap water</t>
  </si>
  <si>
    <t xml:space="preserve">USDA SR Legacy 2018-04 (NDB 14355 / FDC 173227)</t>
  </si>
  <si>
    <t xml:space="preserve">P121</t>
  </si>
  <si>
    <t xml:space="preserve">مشروب طاقة (ريد بول)</t>
  </si>
  <si>
    <t xml:space="preserve">Beverages, Energy drink, RED BULL</t>
  </si>
  <si>
    <t xml:space="preserve">USDA SR Legacy 2018-04 (NDB 14154 / FDC 173210)</t>
  </si>
  <si>
    <t xml:space="preserve">P122</t>
  </si>
  <si>
    <t xml:space="preserve">مشروب رياضي (جاتوريد)</t>
  </si>
  <si>
    <t xml:space="preserve">Beverages, PEPSICO QUAKER, Gatorade G2, low calorie</t>
  </si>
  <si>
    <t xml:space="preserve">USDA SR Legacy 2018-04 (NDB 14644 / FDC 174178)</t>
  </si>
  <si>
    <t xml:space="preserve">Pro — الإعدادات (كلها قابلة للتعديل)</t>
  </si>
  <si>
    <t xml:space="preserve">القيم نقاط بداية قابلة للتعديل ضمن نطاقات منشورة (راجع المراجع بالأسفل). القرار النهائي للأخصائي.</t>
  </si>
  <si>
    <t xml:space="preserve">المراحل</t>
  </si>
  <si>
    <t xml:space="preserve">بروتين g/kg</t>
  </si>
  <si>
    <t xml:space="preserve">دهون g/kg</t>
  </si>
  <si>
    <t xml:space="preserve">تعديل السعرات %</t>
  </si>
  <si>
    <t xml:space="preserve">ملاحظة</t>
  </si>
  <si>
    <t xml:space="preserve">بناء عضلي (فائض)</t>
  </si>
  <si>
    <t xml:space="preserve">فائض أكبر؛ راقب الزيادة الدهنية</t>
  </si>
  <si>
    <t xml:space="preserve">بناء نظيف (فائض صغير)</t>
  </si>
  <si>
    <t xml:space="preserve">فائض صغير</t>
  </si>
  <si>
    <t xml:space="preserve">إعادة تركيب الجسم</t>
  </si>
  <si>
    <t xml:space="preserve">عجز صغير مع بروتين مرتفع</t>
  </si>
  <si>
    <t xml:space="preserve">تنشيف</t>
  </si>
  <si>
    <t xml:space="preserve">يراجَع أسبوعياً حسب اتجاه الوزن والأداء</t>
  </si>
  <si>
    <t xml:space="preserve">ما قبل المنافسة (تنشيف متقدم)</t>
  </si>
  <si>
    <t xml:space="preserve">بإشراف الأخصائي وبمراقبة الطاقة المتاحة</t>
  </si>
  <si>
    <t xml:space="preserve">أنواع الأيام</t>
  </si>
  <si>
    <t xml:space="preserve">كربوهيدرات g/kg</t>
  </si>
  <si>
    <t xml:space="preserve">سعرات التدريب kcal/دقيقة (تقدير)</t>
  </si>
  <si>
    <t xml:space="preserve">يوم تدريب؟</t>
  </si>
  <si>
    <t xml:space="preserve">لا</t>
  </si>
  <si>
    <t xml:space="preserve">تدريب عالٍ جداً</t>
  </si>
  <si>
    <t xml:space="preserve">يوم ريفيد</t>
  </si>
  <si>
    <t xml:space="preserve">معاملات عامة</t>
  </si>
  <si>
    <t xml:space="preserve">معامل النشاط اليومي خارج التدريب (× BMR)</t>
  </si>
  <si>
    <t xml:space="preserve">حد أدنى للبروتين g/kg (تحذير)</t>
  </si>
  <si>
    <t xml:space="preserve">حد أدنى للدهون g/kg (تحذير)</t>
  </si>
  <si>
    <t xml:space="preserve">حد أدنى للطاقة المتاحة kcal/kg كتلة خالية (تحذير)</t>
  </si>
  <si>
    <t xml:space="preserve">الماء مل/كجم</t>
  </si>
  <si>
    <t xml:space="preserve">ماء إضافي مل لكل ساعة تدريب</t>
  </si>
  <si>
    <t xml:space="preserve">سماحية الماكروز (جرام) للتلوين</t>
  </si>
  <si>
    <t xml:space="preserve">حد أدنى للكربوهيدرات g/kg (تحذير)</t>
  </si>
  <si>
    <t xml:space="preserve">توزيع الماكروز على الوجبات (يُطبَّع تلقائياً على الوجبات الفعّالة)</t>
  </si>
  <si>
    <t xml:space="preserve">الوقت</t>
  </si>
  <si>
    <t xml:space="preserve">فعّالة؟</t>
  </si>
  <si>
    <t xml:space="preserve">راحة: بروتين %</t>
  </si>
  <si>
    <t xml:space="preserve">راحة: كارب %</t>
  </si>
  <si>
    <t xml:space="preserve">راحة: دهون %</t>
  </si>
  <si>
    <t xml:space="preserve">تدريب: بروتين %</t>
  </si>
  <si>
    <t xml:space="preserve">تدريب: كارب %</t>
  </si>
  <si>
    <t xml:space="preserve">تدريب: دهون %</t>
  </si>
  <si>
    <t xml:space="preserve">الإفطار</t>
  </si>
  <si>
    <t xml:space="preserve">07:30</t>
  </si>
  <si>
    <t xml:space="preserve">سناك 1 / قبل التدريب</t>
  </si>
  <si>
    <t xml:space="preserve">10:30</t>
  </si>
  <si>
    <t xml:space="preserve">الغداء</t>
  </si>
  <si>
    <t xml:space="preserve">13:30</t>
  </si>
  <si>
    <t xml:space="preserve">سناك 2 / بعد التدريب</t>
  </si>
  <si>
    <t xml:space="preserve">16:30</t>
  </si>
  <si>
    <t xml:space="preserve">العشاء</t>
  </si>
  <si>
    <t xml:space="preserve">20:00</t>
  </si>
  <si>
    <t xml:space="preserve">وجبة ليلية</t>
  </si>
  <si>
    <t xml:space="preserve">22:30</t>
  </si>
  <si>
    <t xml:space="preserve">مجموع الفعّالة</t>
  </si>
  <si>
    <t xml:space="preserve">مراجع نقاط البداية (راجع الأرقام والسنوات قبل الاستشهاد)</t>
  </si>
  <si>
    <t xml:space="preserve">• Thomas DT, Erdman KA, Burke LM. Nutrition and Athletic Performance. J Acad Nutr Diet 2016.</t>
  </si>
  <si>
    <t xml:space="preserve">• Jäger R et al. ISSN position stand: protein and exercise. JISSN 2017.</t>
  </si>
  <si>
    <t xml:space="preserve">• Helms ER, Aragon AA, Fitschen PJ. Natural bodybuilding contest preparation: nutrition and supplementation. JISSN 2014.</t>
  </si>
  <si>
    <t xml:space="preserve">• Iraki J et al. Nutrition recommendations for bodybuilders in the off-season. Sports 2019.</t>
  </si>
  <si>
    <t xml:space="preserve">• Burke LM et al. Carbohydrates for training and competition. J Sports Sci 2011.</t>
  </si>
  <si>
    <t xml:space="preserve">• Loucks AB et al. Energy availability in athletes. J Sports Sci 2011؛ Mountjoy M et al. IOC consensus statement on RED-S (2018, 2023).</t>
  </si>
  <si>
    <t xml:space="preserve">• Cunningham JJ. Am J Clin Nutr 1980؛ ten Haaf T, Weijs PJ. Resting metabolic rate in vivo. PLoS One 2014؛ Mifflin MD et al. Am J Clin Nutr 1990.</t>
  </si>
  <si>
    <t xml:space="preserve">Pro — عبارات دعم وإرشادات لكل مرحلة (قابلة للتعديل)</t>
  </si>
  <si>
    <t xml:space="preserve">الأنواع: دعم (عبارة تشجيع تدور على صفحات الأيام) • إرشاد (قاعدة عملية في صفحة المرحلة) • توقع (ماذا نتوقع ومتى نعدّل) • تنبيه (سلامة). أضف أو عدّل أو عطّل (نشطة = لا). يختار ملف Word تلقائياً حسب المرحلة المختارة في «Pro ملف الرياضي».</t>
  </si>
  <si>
    <t xml:space="preserve">النوع</t>
  </si>
  <si>
    <t xml:space="preserve">النص</t>
  </si>
  <si>
    <t xml:space="preserve">نشطة</t>
  </si>
  <si>
    <t xml:space="preserve">دعم</t>
  </si>
  <si>
    <t xml:space="preserve">العجز المنضبط يصنع النتيجة؛ الصبر والثبات يغلبان التسرّع.</t>
  </si>
  <si>
    <t xml:space="preserve">كل وجبة تلتزم بها اليوم هي دهن أقل غداً مع عضلاتك محفوظة.</t>
  </si>
  <si>
    <t xml:space="preserve">الجوع جزء من الرحلة وليس علامة فشل؛ تعامل معه بالماء والخضار والبروتين.</t>
  </si>
  <si>
    <t xml:space="preserve">لا تقارن يومك بيوم غيرك؛ قارن أسبوعك بأسبوعك الماضي.</t>
  </si>
  <si>
    <t xml:space="preserve">قوتك في التمرين هي مؤشرك الأهم؛ إن حافظتَ عليها فأنت تحافظ على عضلاتك.</t>
  </si>
  <si>
    <t xml:space="preserve">يوم تجاوز واحد لا يهدم أسبوعاً؛ عد للخطة في وجبتك التالية.</t>
  </si>
  <si>
    <t xml:space="preserve">الميزان يتذبذب يومياً بسبب الماء؛ احكم على المتوسط الأسبوعي.</t>
  </si>
  <si>
    <t xml:space="preserve">أنت أقرب إلى هدفك مما كنت عليه الأسبوع الماضي.</t>
  </si>
  <si>
    <t xml:space="preserve">إرشاد</t>
  </si>
  <si>
    <t xml:space="preserve">حافظ على شدة التمرين وأحماله قدر المستطاع؛ الإشارة للجسم أن يُبقي عضلاته.</t>
  </si>
  <si>
    <t xml:space="preserve">ابدأ كل وجبة بالخضار والبروتين لتزيد الشبع.</t>
  </si>
  <si>
    <t xml:space="preserve">وزّع البروتين على 3–5 وجبات متقاربة.</t>
  </si>
  <si>
    <t xml:space="preserve">اجعل الكارب حول التدريب (قبله وبعده) لتحافظ على أدائك.</t>
  </si>
  <si>
    <t xml:space="preserve">ركّز على الأغذية كثيفة الحجم قليلة السعرات (خضار، فواكه كاملة، شوربات).</t>
  </si>
  <si>
    <t xml:space="preserve">نم 7–9 ساعات؛ قلة النوم تزيد الجوع وتضعف الاستشفاء.</t>
  </si>
  <si>
    <t xml:space="preserve">قِس وزنك صباحاً بنفس الظروف 3–4 مرات أسبوعياً وسجّل المتوسط.</t>
  </si>
  <si>
    <t xml:space="preserve">توقع</t>
  </si>
  <si>
    <t xml:space="preserve">الهدف الشائع نزول تدريجي في الوزن (أجزاء من المئة من وزن الجسم أسبوعياً) لا نزول سريع.</t>
  </si>
  <si>
    <t xml:space="preserve">قد ينخفض الأداء قليلاً مع تقدم التنشيف؛ إن كان الانخفاض كبيراً أخبرني.</t>
  </si>
  <si>
    <t xml:space="preserve">إذا لم يتحرك اتجاه الوزن 2–3 أسابيع مع التزام كامل نعدّل السعرات أو الحركة تدريجياً — لا تعدّل وحدك.</t>
  </si>
  <si>
    <t xml:space="preserve">تنبيه</t>
  </si>
  <si>
    <t xml:space="preserve">لا تخفّض السعرات أكثر مما في خطتك؛ العجز الكبير يضر العضلات والهرمونات والأداء.</t>
  </si>
  <si>
    <t xml:space="preserve">توقف وتواصل معي عند: دوخة مستمرة، إعياء شديد، اضطراب الدورة، أرق شديد، أو أفكار مقلقة حول الطعام والوزن.</t>
  </si>
  <si>
    <t xml:space="preserve">أنت في المرحلة الأخيرة من الرحلة؛ الانضباط الآن يُحسب لك.</t>
  </si>
  <si>
    <t xml:space="preserve">ثق بالعملية وبفريقك؛ التفاصيل الصغيرة تصنع الفرق في الأسابيع الأخيرة.</t>
  </si>
  <si>
    <t xml:space="preserve">الراحة والنوم جزء من التحضير مثل التمرين تماماً.</t>
  </si>
  <si>
    <t xml:space="preserve">التوتر طبيعي قبل المنافسة؛ التنفس والروتين الثابت يخففانه.</t>
  </si>
  <si>
    <t xml:space="preserve">لا تغيّر شيئاً جديداً قبل المنافسة دون الرجوع إليّ.</t>
  </si>
  <si>
    <t xml:space="preserve">كل أسبوع تنجزه هو استثمار في يوم المنافسة.</t>
  </si>
  <si>
    <t xml:space="preserve">اتبع الخطة حرفياً ولا تجرّب أطعمة أو مكملات جديدة.</t>
  </si>
  <si>
    <t xml:space="preserve">ثبّت مواعيد وجباتك وتمرينك وتحمّل تغييرات الأسبوع الأخير بإشراف الأخصائي فقط.</t>
  </si>
  <si>
    <t xml:space="preserve">سجّل وزنك وقياساتك وصورك بنفس الظروف لنقارن بدقة.</t>
  </si>
  <si>
    <t xml:space="preserve">حافظ على الترطيب المنتظم؛ لا تعدّل الماء أو الأملاح بنفسك.</t>
  </si>
  <si>
    <t xml:space="preserve">جهّز وجباتك مسبقاً لتتجنب الأخطاء.</t>
  </si>
  <si>
    <t xml:space="preserve">خطّط لما بعد المنافسة (العودة التدريجية للسعرات) منذ الآن.</t>
  </si>
  <si>
    <t xml:space="preserve">مرحلة التحضير النهائي تتطلب متابعة أقرب (أسبوعية أو أكثر).</t>
  </si>
  <si>
    <t xml:space="preserve">قد تشعر بتعب وجوع أكبر؛ هذا متوقع لكنه يُبلَّغ عنه.</t>
  </si>
  <si>
    <t xml:space="preserve">القرارات الخاصة بالأسبوع الأخير تُتخذ بالتنسيق معي وحسب استجابتك.</t>
  </si>
  <si>
    <t xml:space="preserve">هذه المرحلة تحمل مخاطر أعلى؛ لا تتبع أساليب جفاف أو إفراط في الأملاح أو أدوية دون إشراف طبي.</t>
  </si>
  <si>
    <t xml:space="preserve">أي دوخة، خفقان، تشنج، أو إعياء شديد: توقف وتواصل مع طبيبك فوراً.</t>
  </si>
  <si>
    <t xml:space="preserve">العضلات تُبنى بالتمرين والأكل والنوم؛ وأنت تفعل الثلاثة.</t>
  </si>
  <si>
    <t xml:space="preserve">الفائض المدروس يبني عضلات أكثر ودهوناً أقل من الأكل العشوائي.</t>
  </si>
  <si>
    <t xml:space="preserve">التقدم في الأحمال أهم من حجم الطعام.</t>
  </si>
  <si>
    <t xml:space="preserve">الصبر الآن يصنع شكلاً مختلفاً بعد أشهر.</t>
  </si>
  <si>
    <t xml:space="preserve">تناول طعامك كجزء من التدريب لا كمكافأة.</t>
  </si>
  <si>
    <t xml:space="preserve">كل وجبة من خطتك لبنة في الجسم الذي تبنيه.</t>
  </si>
  <si>
    <t xml:space="preserve">اجعل الهدف زيادة تدريجية بطيئة في الوزن؛ الزيادة السريعة تعني دهوناً أكثر.</t>
  </si>
  <si>
    <t xml:space="preserve">ارفع الأحمال تدريجياً في التمرين؛ الطعام وحده لا يبني العضل.</t>
  </si>
  <si>
    <t xml:space="preserve">وزّع البروتين على 3–5 وجبات، وأضف وجبة قبل النوم عند الحاجة.</t>
  </si>
  <si>
    <t xml:space="preserve">الكارب الأعلى في أيام التدريب لدعم الأداء والاستشفاء.</t>
  </si>
  <si>
    <t xml:space="preserve">إن صعب عليك إكمال الوجبات: ارفع الكثافة (مكسرات، زيوت، حليب، تمر) بدل الحجم.</t>
  </si>
  <si>
    <t xml:space="preserve">سجّل وزنك ومقاس الخصر أسبوعياً لنراقب جودة الزيادة.</t>
  </si>
  <si>
    <t xml:space="preserve">الزيادة المثالية بطيئة؛ إن زاد وزنك بسرعة أو زاد الخصر كثيراً نخفض الفائض.</t>
  </si>
  <si>
    <t xml:space="preserve">إن لم يزد وزنك أو أحمالك 2–3 أسابيع مع الالتزام نرفع السعرات قليلاً.</t>
  </si>
  <si>
    <t xml:space="preserve">نراجع الخطة كل 2–4 أسابيع حسب الوزن والأداء والخصر.</t>
  </si>
  <si>
    <t xml:space="preserve">الأكل «بلا حساب» لا يناسب هدفك؛ الزيادة الدهنية السريعة تصعّب التنشيف لاحقاً.</t>
  </si>
  <si>
    <t xml:space="preserve">استشر طبيبك قبل أي مكملات مع وجود حالة صحية أو أدوية.</t>
  </si>
  <si>
    <t xml:space="preserve">زيادة صغيرة ومنضبطة تعطي عضلات نظيفة بأقل دهون.</t>
  </si>
  <si>
    <t xml:space="preserve">الاتساق هنا أهم من الحماس؛ نفس الخطة، أسبوعاً بعد أسبوع.</t>
  </si>
  <si>
    <t xml:space="preserve">تقدمك بطيء لكنه مضمون؛ استمر.</t>
  </si>
  <si>
    <t xml:space="preserve">أحمالك في التمرين هي أهم مقياس؛ ارفعها تدريجياً.</t>
  </si>
  <si>
    <t xml:space="preserve">اجعل جودة الطعام والنوم شريكين لتمرينك.</t>
  </si>
  <si>
    <t xml:space="preserve">الصبر هنا ثمنه شكل أفضل.</t>
  </si>
  <si>
    <t xml:space="preserve">التزم بالفائض الصغير؛ لا ترفعه من نفسك.</t>
  </si>
  <si>
    <t xml:space="preserve">ركّز على مصادر البروتين الجيدة والكارب حول التدريب.</t>
  </si>
  <si>
    <t xml:space="preserve">أضف الألياف والخضار لصحة الهضم والشبع.</t>
  </si>
  <si>
    <t xml:space="preserve">راقب الخصر والوزن أسبوعياً وسجّل المتوسط.</t>
  </si>
  <si>
    <t xml:space="preserve">نم 7–9 ساعات وحافظ على الترطيب.</t>
  </si>
  <si>
    <t xml:space="preserve">الزيادة قد تبدو بطيئة جداً؛ هذا هو المقصود.</t>
  </si>
  <si>
    <t xml:space="preserve">إذا ثبت وزنك وأحمالك 3 أسابيع مع الالتزام نزيد السعرات قليلاً.</t>
  </si>
  <si>
    <t xml:space="preserve">لا تضف «وجبات غش» كثيرة؛ تفسد ضبط الفائض.</t>
  </si>
  <si>
    <t xml:space="preserve">عند أي أعراض غير معتادة تواصل معي.</t>
  </si>
  <si>
    <t xml:space="preserve">إعادة التشكيل أبطأ لكنها تعطيك عضلات أكثر ودهوناً أقل معاً.</t>
  </si>
  <si>
    <t xml:space="preserve">لا تتوقع قفزات؛ الصور والمقاسات والأحمال تحكي القصة أكثر من الميزان.</t>
  </si>
  <si>
    <t xml:space="preserve">التمرين المنتظم مع البروتين العالي هو سرّك.</t>
  </si>
  <si>
    <t xml:space="preserve">ثق بالعملية؛ التغير يحدث وإن لم يتحرك الميزان.</t>
  </si>
  <si>
    <t xml:space="preserve">كل أسبوع تلتزم فيه يعطي نتيجة تراكمية.</t>
  </si>
  <si>
    <t xml:space="preserve">قوتك تزداد؛ هذا دليل أنك على الطريق.</t>
  </si>
  <si>
    <t xml:space="preserve">حافظ على بروتين مرتفع موزّع على الوجبات.</t>
  </si>
  <si>
    <t xml:space="preserve">لا تهمل التمرين المقاوم؛ هو المحرك الرئيسي للتركيب.</t>
  </si>
  <si>
    <t xml:space="preserve">قِس الخصر والأحمال والصور كل 2–4 أسابيع بدل الاعتماد على الميزان وحده.</t>
  </si>
  <si>
    <t xml:space="preserve">ضع الكارب حول التدريب لدعم الأداء.</t>
  </si>
  <si>
    <t xml:space="preserve">نم جيداً وتحرّك يومياً (خطوات) لدعم الحرق.</t>
  </si>
  <si>
    <t xml:space="preserve">التغير بطيء ويحتاج أشهراً؛ نراجع كل 3–4 أسابيع.</t>
  </si>
  <si>
    <t xml:space="preserve">إذا لم تتحسن المقاسات والأحمال بعد 4 أسابيع من الالتزام نعدّل السعرات قليلاً.</t>
  </si>
  <si>
    <t xml:space="preserve">لا تضف عجزاً من عندك؛ العجز الكبير يعيق بناء العضل.</t>
  </si>
  <si>
    <t xml:space="preserve">عند التعب الشديد أو اضطراب النوم تواصل معي.</t>
  </si>
  <si>
    <t xml:space="preserve">الحفاظ على النتيجة مهارة؛ وأنت تتقنها.</t>
  </si>
  <si>
    <t xml:space="preserve">الثبات الهادئ يمنحك حرية أكبر وطاقة أفضل.</t>
  </si>
  <si>
    <t xml:space="preserve">نمط حياتك الآن هو نتيجتك الدائمة.</t>
  </si>
  <si>
    <t xml:space="preserve">المرونة المحسوبة تحميك من الانتكاس.</t>
  </si>
  <si>
    <t xml:space="preserve">استمتع بما بنيته وحافظ عليه.</t>
  </si>
  <si>
    <t xml:space="preserve">التزامك المنتظم أقوى من أي نظام قاسٍ.</t>
  </si>
  <si>
    <t xml:space="preserve">حافظ على نفس العادات: بروتين كافٍ، كارب حول التدريب، ماء، ونوم.</t>
  </si>
  <si>
    <t xml:space="preserve">اسمح بمرونة بسيطة (80–90% التزام) دون تجاوز كبير.</t>
  </si>
  <si>
    <t xml:space="preserve">قِس وزنك أسبوعياً؛ إن تغيّر اتجاهه أكثر من 2–3% تواصل معي.</t>
  </si>
  <si>
    <t xml:space="preserve">استمر في التمرين المنتظم؛ هو ما يحميك.</t>
  </si>
  <si>
    <t xml:space="preserve">يتذبذب الوزن قليلاً طبيعياً؛ نراقب الاتجاه لا اليوم.</t>
  </si>
  <si>
    <t xml:space="preserve">نراجع الخطة كل 4–6 أسابيع.</t>
  </si>
  <si>
    <t xml:space="preserve">لا تعتمد على الحرمان القاسي بعد فترة تنشيف؛ العودة التدريجية للسعرات أفضل.</t>
  </si>
  <si>
    <t xml:space="preserve">تواصل معي عند أي تغير مفاجئ في الوزن أو الشهية.</t>
  </si>
  <si>
    <t xml:space="preserve">Pro — تفضيلات واستبعادات وقيود التعبئة التلقائية</t>
  </si>
  <si>
    <t xml:space="preserve">تستخدمها «التعبئة التلقائية» (في Diet Pro Manager أو pro_autoplan.py): تستبعد الأصناف المذكورة، وتفضّل المفضلة، وتحترم حدود التكرار وعدد الأصناف وما لا يُقدَّم معاً.</t>
  </si>
  <si>
    <t xml:space="preserve">أقصى مرات أسبوعياً لمصدر البروتين الواحد</t>
  </si>
  <si>
    <t xml:space="preserve">أقصى مرات أسبوعياً لأي صنف آخر</t>
  </si>
  <si>
    <t xml:space="preserve">أقصى عدد أصناف في الوجبة الواحدة</t>
  </si>
  <si>
    <t xml:space="preserve">جرامات الخضار في الغداء/العشاء</t>
  </si>
  <si>
    <t xml:space="preserve">وزن قطعة البيض (جم) للتقريب</t>
  </si>
  <si>
    <t xml:space="preserve">اكتب كلمات بينها | (مثال: سمك|روبيان). افتراضياً: لا سمك مع الألبان (قابل للحذف).</t>
  </si>
  <si>
    <t xml:space="preserve">أصناف مستبعدة</t>
  </si>
  <si>
    <t xml:space="preserve">السبب</t>
  </si>
  <si>
    <t xml:space="preserve">كلمات مفتاحية للاستبعاد</t>
  </si>
  <si>
    <t xml:space="preserve">أصناف مفضلة</t>
  </si>
  <si>
    <t xml:space="preserve">الأولوية 1-3</t>
  </si>
  <si>
    <t xml:space="preserve">صنف</t>
  </si>
  <si>
    <t xml:space="preserve">أقصى مرات/أسبوع</t>
  </si>
  <si>
    <t xml:space="preserve">لا يُقدَّم مع (مجموعة أ)</t>
  </si>
  <si>
    <t xml:space="preserve">لا يُقدَّم مع (مجموعة ب)</t>
  </si>
  <si>
    <t xml:space="preserve">سمك|سلمون|تونة|روبيان|بلطي|سردين|قد</t>
  </si>
  <si>
    <t xml:space="preserve">زبادي|حليب|جبنة|لبن|قريش</t>
  </si>
  <si>
    <t xml:space="preserve">نعم/لا</t>
  </si>
  <si>
    <t xml:space="preserve">مستوى التفضيل</t>
  </si>
  <si>
    <t xml:space="preserve">درجة التفضيل</t>
  </si>
  <si>
    <t xml:space="preserve">نوع الاستبعاد</t>
  </si>
  <si>
    <t xml:space="preserve">نيء/مطبوخ</t>
  </si>
  <si>
    <t xml:space="preserve">محلي/دولي</t>
  </si>
  <si>
    <t xml:space="preserve">مستوى الكارب</t>
  </si>
  <si>
    <t xml:space="preserve">طريقة الماكروز</t>
  </si>
  <si>
    <t xml:space="preserve">ثابت/تدوير</t>
  </si>
  <si>
    <t xml:space="preserve">دور المكوّن</t>
  </si>
  <si>
    <t xml:space="preserve">عدد الوجبات</t>
  </si>
  <si>
    <t xml:space="preserve">تقييم المتابعة</t>
  </si>
  <si>
    <t xml:space="preserve">اقتراح المتابعة</t>
  </si>
  <si>
    <t xml:space="preserve">خطوة الحصص</t>
  </si>
  <si>
    <t xml:space="preserve">فلتر نوع البروتين</t>
  </si>
  <si>
    <t xml:space="preserve">مفضل جداً</t>
  </si>
  <si>
    <t xml:space="preserve">حساسية</t>
  </si>
  <si>
    <t xml:space="preserve">محلي</t>
  </si>
  <si>
    <t xml:space="preserve">عالٍ</t>
  </si>
  <si>
    <t xml:space="preserve">يدوي (نسب مئوية)</t>
  </si>
  <si>
    <t xml:space="preserve">ثابت</t>
  </si>
  <si>
    <t xml:space="preserve">بروتين رئيسي</t>
  </si>
  <si>
    <t xml:space="preserve">نقص الوزن كما هو متوقع</t>
  </si>
  <si>
    <t xml:space="preserve">الإبقاء على السعرات الحالية.</t>
  </si>
  <si>
    <t xml:space="preserve">الكل</t>
  </si>
  <si>
    <t xml:space="preserve">أنثى</t>
  </si>
  <si>
    <t xml:space="preserve">مفضل</t>
  </si>
  <si>
    <t xml:space="preserve">عدم تحمل</t>
  </si>
  <si>
    <t xml:space="preserve">دولي</t>
  </si>
  <si>
    <t xml:space="preserve">متوسط</t>
  </si>
  <si>
    <t xml:space="preserve">تلقائي: بروتين g/kg + دهون %</t>
  </si>
  <si>
    <t xml:space="preserve">تدوير الكربوهيدرات</t>
  </si>
  <si>
    <t xml:space="preserve">كربوهيدرات رئيسي</t>
  </si>
  <si>
    <t xml:space="preserve">نقص الوزن أبطأ من المتوقع</t>
  </si>
  <si>
    <t xml:space="preserve">يمكن النظر في خفض تدريجي محدود للسعرات بعد التأكد من الالتزام وقياس الوزن بشكل صحيح.</t>
  </si>
  <si>
    <t xml:space="preserve">قليل الدهن</t>
  </si>
  <si>
    <t xml:space="preserve">محايد</t>
  </si>
  <si>
    <t xml:space="preserve">قيد طبي</t>
  </si>
  <si>
    <t xml:space="preserve">جاهز</t>
  </si>
  <si>
    <t xml:space="preserve">منخفض</t>
  </si>
  <si>
    <t xml:space="preserve">تلقائي: بروتين g/kg + كربوهيدرات %</t>
  </si>
  <si>
    <t xml:space="preserve">خضار</t>
  </si>
  <si>
    <t xml:space="preserve">نقص الوزن أسرع من المتوقع</t>
  </si>
  <si>
    <t xml:space="preserve">يمكن النظر في رفع السعرات تدريجياً وتقييم الطاقة والتدريب.</t>
  </si>
  <si>
    <t xml:space="preserve">متوسط الدهن</t>
  </si>
  <si>
    <t xml:space="preserve">تجنب</t>
  </si>
  <si>
    <t xml:space="preserve">قيد ديني</t>
  </si>
  <si>
    <t xml:space="preserve">الجوع مرتفع</t>
  </si>
  <si>
    <t xml:space="preserve">يمكن زيادة الأطعمة المشبعة (ألياف/بروتين/حجم) مع الإبقاء على الهدف الكلي.</t>
  </si>
  <si>
    <t xml:space="preserve">عالي الدهن</t>
  </si>
  <si>
    <t xml:space="preserve">كراهية شخصية</t>
  </si>
  <si>
    <t xml:space="preserve">تتبيل</t>
  </si>
  <si>
    <t xml:space="preserve">الالتزام منخفض</t>
  </si>
  <si>
    <t xml:space="preserve">يُنصح بتبسيط الخطة وتقليل التعقيد قبل أي خفض للسعرات.</t>
  </si>
  <si>
    <t xml:space="preserve">استبعاد مؤقت</t>
  </si>
  <si>
    <t xml:space="preserve">اختياري</t>
  </si>
  <si>
    <t xml:space="preserve">بقوليات/نباتي</t>
  </si>
  <si>
    <t xml:space="preserve">كمية ثابتة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</si>
</sst>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0"/>
    <numFmt numFmtId="166" formatCode="0.0"/>
    <numFmt numFmtId="167" formatCode="0.0%"/>
    <numFmt numFmtId="168" formatCode="0.00"/>
    <numFmt numFmtId="169" formatCode="\+0%;\-0%;0%"/>
    <numFmt numFmtId="170" formatCode="\+0;\-0;0"/>
    <numFmt numFmtId="171" formatCode="yyyy\-mm\-dd"/>
    <numFmt numFmtId="172" formatCode="0.000"/>
    <numFmt numFmtId="173" formatCode="0.000000"/>
    <numFmt numFmtId="174" formatCode="\+0.0;\-0.0;0"/>
    <numFmt numFmtId="175" formatCode="@"/>
    <numFmt numFmtId="176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1B5E2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0B5D5D"/>
        <bgColor rgb="FF1B5E20"/>
      </patternFill>
    </fill>
    <fill>
      <patternFill patternType="solid">
        <fgColor rgb="FFFFCDD2"/>
        <bgColor rgb="FFE0E0E0"/>
      </patternFill>
    </fill>
    <fill>
      <patternFill patternType="solid">
        <fgColor rgb="FFFFFFFF"/>
        <bgColor rgb="FFE8F5E9"/>
      </patternFill>
    </fill>
    <fill>
      <patternFill patternType="solid">
        <fgColor rgb="FFE3F2FD"/>
        <bgColor rgb="FFDDEBF7"/>
      </patternFill>
    </fill>
    <fill>
      <patternFill patternType="solid">
        <fgColor rgb="FFFFF9C4"/>
        <bgColor rgb="FFFFF59D"/>
      </patternFill>
    </fill>
    <fill>
      <patternFill patternType="solid">
        <fgColor rgb="FFDDEBF7"/>
        <bgColor rgb="FFE3F2FD"/>
      </patternFill>
    </fill>
    <fill>
      <patternFill patternType="solid">
        <fgColor rgb="FFCDE8E5"/>
        <bgColor rgb="FFC8E6C9"/>
      </patternFill>
    </fill>
    <fill>
      <patternFill patternType="solid">
        <fgColor rgb="FFE0E0E0"/>
        <bgColor rgb="FFDDEBF7"/>
      </patternFill>
    </fill>
    <fill>
      <patternFill patternType="solid">
        <fgColor rgb="FFE8F5E9"/>
        <bgColor rgb="FFE3F2FD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DBDBD"/>
      </left>
      <right/>
      <top style="thin">
        <color rgb="FFBDBDBD"/>
      </top>
      <bottom style="thin">
        <color rgb="FFBDBDBD"/>
      </bottom>
      <diagonal/>
    </border>
    <border diagonalUp="false" diagonalDown="false"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5" fillId="3" borderId="2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4" fontId="6" fillId="4" borderId="2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4" fontId="6" fillId="5" borderId="2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4" fontId="6" fillId="6" borderId="2" xfId="0" applyFont="true" applyBorder="true" applyAlignment="true" applyProtection="true">
      <alignment horizontal="right" vertical="center" textRotation="0" wrapText="true" indent="0" shrinkToFit="false" readingOrder="2"/>
      <protection locked="false" hidden="false"/>
    </xf>
    <xf numFmtId="165" fontId="6" fillId="6" borderId="2" xfId="0" applyFont="true" applyBorder="true" applyAlignment="true" applyProtection="true">
      <alignment horizontal="right" vertical="center" textRotation="0" wrapText="true" indent="0" shrinkToFit="false" readingOrder="2"/>
      <protection locked="false" hidden="false"/>
    </xf>
    <xf numFmtId="166" fontId="6" fillId="6" borderId="2" xfId="0" applyFont="true" applyBorder="true" applyAlignment="true" applyProtection="true">
      <alignment horizontal="right" vertical="center" textRotation="0" wrapText="true" indent="0" shrinkToFit="false" readingOrder="2"/>
      <protection locked="false" hidden="false"/>
    </xf>
    <xf numFmtId="167" fontId="6" fillId="6" borderId="2" xfId="0" applyFont="true" applyBorder="true" applyAlignment="true" applyProtection="true">
      <alignment horizontal="right" vertical="center" textRotation="0" wrapText="true" indent="0" shrinkToFit="false" readingOrder="2"/>
      <protection locked="false" hidden="false"/>
    </xf>
    <xf numFmtId="166" fontId="6" fillId="7" borderId="2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5" fontId="6" fillId="7" borderId="2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4" fontId="6" fillId="7" borderId="2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8" fontId="6" fillId="7" borderId="2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9" fontId="6" fillId="7" borderId="2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4" fontId="7" fillId="8" borderId="2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4" fontId="8" fillId="2" borderId="2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6" fillId="9" borderId="2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6" fillId="6" borderId="2" xfId="0" applyFont="true" applyBorder="true" applyAlignment="true" applyProtection="true">
      <alignment horizontal="center" vertical="center" textRotation="0" wrapText="true" indent="0" shrinkToFit="false" readingOrder="2"/>
      <protection locked="false" hidden="false"/>
    </xf>
    <xf numFmtId="165" fontId="6" fillId="6" borderId="2" xfId="0" applyFont="true" applyBorder="true" applyAlignment="true" applyProtection="true">
      <alignment horizontal="center" vertical="center" textRotation="0" wrapText="true" indent="0" shrinkToFit="false" readingOrder="2"/>
      <protection locked="false" hidden="false"/>
    </xf>
    <xf numFmtId="165" fontId="6" fillId="4" borderId="2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5" fontId="6" fillId="7" borderId="2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70" fontId="6" fillId="4" borderId="2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6" fontId="6" fillId="4" borderId="2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6" fillId="4" borderId="2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4" fontId="6" fillId="8" borderId="2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5" fontId="7" fillId="4" borderId="2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6" fontId="7" fillId="4" borderId="2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71" fontId="6" fillId="6" borderId="2" xfId="0" applyFont="true" applyBorder="true" applyAlignment="true" applyProtection="true">
      <alignment horizontal="right" vertical="center" textRotation="0" wrapText="true" indent="0" shrinkToFit="false" readingOrder="2"/>
      <protection locked="false" hidden="false"/>
    </xf>
    <xf numFmtId="164" fontId="4" fillId="2" borderId="1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5" fontId="6" fillId="9" borderId="2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5" fontId="6" fillId="9" borderId="2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7" fillId="8" borderId="2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5" fontId="7" fillId="8" borderId="2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6" fontId="7" fillId="8" borderId="2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5" fontId="7" fillId="7" borderId="2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6" fontId="7" fillId="7" borderId="2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9" fillId="10" borderId="2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72" fontId="6" fillId="4" borderId="2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73" fontId="6" fillId="9" borderId="2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6" fontId="6" fillId="7" borderId="2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74" fontId="6" fillId="4" borderId="2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6" fillId="6" borderId="2" xfId="0" applyFont="true" applyBorder="true" applyAlignment="true" applyProtection="true">
      <alignment horizontal="center" vertical="center" textRotation="0" wrapText="false" indent="0" shrinkToFit="false" readingOrder="2"/>
      <protection locked="false" hidden="false"/>
    </xf>
    <xf numFmtId="164" fontId="6" fillId="6" borderId="2" xfId="0" applyFont="true" applyBorder="true" applyAlignment="true" applyProtection="true">
      <alignment horizontal="right" vertical="center" textRotation="0" wrapText="false" indent="0" shrinkToFit="false" readingOrder="2"/>
      <protection locked="false" hidden="false"/>
    </xf>
    <xf numFmtId="166" fontId="6" fillId="6" borderId="2" xfId="0" applyFont="true" applyBorder="true" applyAlignment="true" applyProtection="true">
      <alignment horizontal="center" vertical="center" textRotation="0" wrapText="false" indent="0" shrinkToFit="false" readingOrder="2"/>
      <protection locked="false" hidden="false"/>
    </xf>
    <xf numFmtId="175" fontId="6" fillId="6" borderId="2" xfId="0" applyFont="true" applyBorder="true" applyAlignment="true" applyProtection="true">
      <alignment horizontal="right" vertical="center" textRotation="0" wrapText="true" indent="0" shrinkToFit="false" readingOrder="2"/>
      <protection locked="false" hidden="false"/>
    </xf>
    <xf numFmtId="168" fontId="6" fillId="6" borderId="2" xfId="0" applyFont="true" applyBorder="true" applyAlignment="true" applyProtection="true">
      <alignment horizontal="center" vertical="center" textRotation="0" wrapText="true" indent="0" shrinkToFit="false" readingOrder="2"/>
      <protection locked="false" hidden="false"/>
    </xf>
    <xf numFmtId="176" fontId="6" fillId="6" borderId="2" xfId="0" applyFont="true" applyBorder="true" applyAlignment="true" applyProtection="true">
      <alignment horizontal="center" vertical="center" textRotation="0" wrapText="true" indent="0" shrinkToFit="false" readingOrder="2"/>
      <protection locked="false" hidden="false"/>
    </xf>
    <xf numFmtId="166" fontId="6" fillId="6" borderId="2" xfId="0" applyFont="true" applyBorder="true" applyAlignment="true" applyProtection="true">
      <alignment horizontal="center" vertical="center" textRotation="0" wrapText="true" indent="0" shrinkToFit="false" readingOrder="2"/>
      <protection locked="false" hidden="false"/>
    </xf>
    <xf numFmtId="175" fontId="6" fillId="6" borderId="2" xfId="0" applyFont="true" applyBorder="true" applyAlignment="true" applyProtection="true">
      <alignment horizontal="center" vertical="center" textRotation="0" wrapText="true" indent="0" shrinkToFit="false" readingOrder="2"/>
      <protection locked="false" hidden="false"/>
    </xf>
    <xf numFmtId="176" fontId="6" fillId="4" borderId="2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10" fillId="2" borderId="2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FCDD2"/>
        </patternFill>
      </fill>
    </dxf>
    <dxf>
      <fill>
        <patternFill>
          <bgColor rgb="FFC8E6C9"/>
        </patternFill>
      </fill>
    </dxf>
    <dxf>
      <fill>
        <patternFill>
          <bgColor rgb="FFFFF59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1B5E20"/>
      <rgbColor rgb="FF000080"/>
      <rgbColor rgb="FF808000"/>
      <rgbColor rgb="FF800080"/>
      <rgbColor rgb="FF0B5D5D"/>
      <rgbColor rgb="FFBDBDBD"/>
      <rgbColor rgb="FF808080"/>
      <rgbColor rgb="FF9999FF"/>
      <rgbColor rgb="FF993366"/>
      <rgbColor rgb="FFFFF9C4"/>
      <rgbColor rgb="FFE3F2FD"/>
      <rgbColor rgb="FF660066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EBF7"/>
      <rgbColor rgb="FFC8E6C9"/>
      <rgbColor rgb="FFFFF59D"/>
      <rgbColor rgb="FFCDE8E5"/>
      <rgbColor rgb="FFE8F5E9"/>
      <rgbColor rgb="FFCC99FF"/>
      <rgbColor rgb="FFFFCDD2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fals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30" hidden="false" customHeight="true" outlineLevel="0" collapsed="false">
      <c r="A1" s="1" t="s">
        <v>0</v>
      </c>
      <c r="B1" s="1"/>
      <c r="C1" s="1"/>
      <c r="D1" s="1"/>
    </row>
    <row r="2" customFormat="false" ht="15" hidden="false" customHeight="true" outlineLevel="0" collapsed="false">
      <c r="A2" s="2" t="s">
        <v>1</v>
      </c>
      <c r="B2" s="2"/>
      <c r="C2" s="2"/>
      <c r="D2" s="2"/>
    </row>
    <row r="4" customFormat="false" ht="30" hidden="false" customHeight="true" outlineLevel="0" collapsed="false">
      <c r="A4" s="3" t="s">
        <v>2</v>
      </c>
      <c r="B4" s="3"/>
      <c r="C4" s="3"/>
      <c r="D4" s="3"/>
    </row>
    <row r="5" customFormat="false" ht="30" hidden="false" customHeight="true" outlineLevel="0" collapsed="false">
      <c r="A5" s="3" t="s">
        <v>3</v>
      </c>
      <c r="B5" s="3"/>
      <c r="C5" s="3"/>
      <c r="D5" s="3"/>
    </row>
    <row r="6" customFormat="false" ht="30" hidden="false" customHeight="true" outlineLevel="0" collapsed="false">
      <c r="A6" s="3" t="s">
        <v>4</v>
      </c>
      <c r="B6" s="3"/>
      <c r="C6" s="3"/>
      <c r="D6" s="3"/>
    </row>
    <row r="7" customFormat="false" ht="30" hidden="false" customHeight="true" outlineLevel="0" collapsed="false">
      <c r="A7" s="3" t="s">
        <v>5</v>
      </c>
      <c r="B7" s="3"/>
      <c r="C7" s="3"/>
      <c r="D7" s="3"/>
    </row>
    <row r="8" customFormat="false" ht="30" hidden="false" customHeight="true" outlineLevel="0" collapsed="false">
      <c r="A8" s="3" t="s">
        <v>6</v>
      </c>
      <c r="B8" s="3"/>
      <c r="C8" s="3"/>
      <c r="D8" s="3"/>
    </row>
    <row r="9" customFormat="false" ht="30" hidden="false" customHeight="true" outlineLevel="0" collapsed="false">
      <c r="A9" s="3" t="s">
        <v>7</v>
      </c>
      <c r="B9" s="3"/>
      <c r="C9" s="3"/>
      <c r="D9" s="3"/>
    </row>
  </sheetData>
  <sheetProtection sheet="true" formatColumns="false" formatRows="false" sort="false" autoFilter="false"/>
  <mergeCells count="8">
    <mergeCell ref="A1:D1"/>
    <mergeCell ref="A2:D2"/>
    <mergeCell ref="A4:D4"/>
    <mergeCell ref="A5:D5"/>
    <mergeCell ref="A6:D6"/>
    <mergeCell ref="A7:D7"/>
    <mergeCell ref="A8:D8"/>
    <mergeCell ref="A9:D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1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1"/>
    <col collapsed="false" customWidth="true" hidden="false" outlineLevel="0" max="8" min="8" style="0" width="10"/>
    <col collapsed="false" customWidth="true" hidden="false" outlineLevel="0" max="10" min="9" style="0" width="9"/>
    <col collapsed="false" customWidth="true" hidden="false" outlineLevel="0" max="12" min="11" style="0" width="11"/>
    <col collapsed="false" customWidth="true" hidden="false" outlineLevel="0" max="14" min="13" style="0" width="9"/>
    <col collapsed="false" customWidth="true" hidden="false" outlineLevel="0" max="15" min="15" style="0" width="12"/>
    <col collapsed="false" customWidth="true" hidden="false" outlineLevel="0" max="16" min="16" style="0" width="44"/>
  </cols>
  <sheetData>
    <row r="1" customFormat="false" ht="30" hidden="false" customHeight="true" outlineLevel="0" collapsed="false">
      <c r="A1" s="1" t="s">
        <v>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5" hidden="false" customHeight="true" outlineLevel="0" collapsed="false">
      <c r="A2" s="4" t="s">
        <v>9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4" customFormat="false" ht="15" hidden="false" customHeight="false" outlineLevel="0" collapsed="false">
      <c r="A4" s="3" t="s">
        <v>10</v>
      </c>
      <c r="B4" s="5" t="s">
        <v>11</v>
      </c>
    </row>
    <row r="5" customFormat="false" ht="15" hidden="false" customHeight="false" outlineLevel="0" collapsed="false">
      <c r="A5" s="3" t="s">
        <v>12</v>
      </c>
      <c r="B5" s="5" t="s">
        <v>13</v>
      </c>
    </row>
    <row r="6" customFormat="false" ht="15" hidden="false" customHeight="false" outlineLevel="0" collapsed="false">
      <c r="A6" s="3" t="s">
        <v>14</v>
      </c>
      <c r="B6" s="6" t="n">
        <v>28</v>
      </c>
    </row>
    <row r="7" customFormat="false" ht="15" hidden="false" customHeight="false" outlineLevel="0" collapsed="false">
      <c r="A7" s="3" t="s">
        <v>15</v>
      </c>
      <c r="B7" s="7" t="n">
        <v>80</v>
      </c>
    </row>
    <row r="8" customFormat="false" ht="15" hidden="false" customHeight="false" outlineLevel="0" collapsed="false">
      <c r="A8" s="3" t="s">
        <v>16</v>
      </c>
      <c r="B8" s="7" t="n">
        <v>178</v>
      </c>
    </row>
    <row r="9" customFormat="false" ht="15" hidden="false" customHeight="false" outlineLevel="0" collapsed="false">
      <c r="A9" s="3" t="s">
        <v>17</v>
      </c>
      <c r="B9" s="8"/>
    </row>
    <row r="10" customFormat="false" ht="15" hidden="false" customHeight="false" outlineLevel="0" collapsed="false">
      <c r="A10" s="3" t="s">
        <v>18</v>
      </c>
      <c r="B10" s="5" t="s">
        <v>19</v>
      </c>
    </row>
    <row r="11" customFormat="false" ht="15" hidden="false" customHeight="false" outlineLevel="0" collapsed="false">
      <c r="A11" s="3" t="s">
        <v>20</v>
      </c>
      <c r="B11" s="5" t="s">
        <v>21</v>
      </c>
    </row>
    <row r="12" customFormat="false" ht="15" hidden="false" customHeight="false" outlineLevel="0" collapsed="false">
      <c r="A12" s="3" t="s">
        <v>22</v>
      </c>
      <c r="B12" s="5" t="s">
        <v>23</v>
      </c>
    </row>
    <row r="14" customFormat="false" ht="15" hidden="false" customHeight="false" outlineLevel="0" collapsed="false">
      <c r="A14" s="3" t="s">
        <v>24</v>
      </c>
      <c r="B14" s="9" t="str">
        <f aca="false">IF(B9="","",B7*(1-B9))</f>
        <v/>
      </c>
    </row>
    <row r="15" customFormat="false" ht="15" hidden="false" customHeight="false" outlineLevel="0" collapsed="false">
      <c r="A15" s="3" t="s">
        <v>25</v>
      </c>
      <c r="B15" s="10" t="n">
        <f aca="false">IF(B9="",IF(B5="ذكر",10*B7+6.25*B8-5*B6+5,10*B7+6.25*B8-5*B6-161),370+21.6*B14)</f>
        <v>1777.5</v>
      </c>
    </row>
    <row r="16" customFormat="false" ht="15" hidden="false" customHeight="false" outlineLevel="0" collapsed="false">
      <c r="A16" s="3" t="s">
        <v>26</v>
      </c>
      <c r="B16" s="11" t="str">
        <f aca="false">IF(B9="","Mifflin-St Jeor (لا توجد نسبة دهون)","Cunningham (كتلة خالية)")</f>
        <v>Mifflin-St Jeor (لا توجد نسبة دهون)</v>
      </c>
    </row>
    <row r="17" customFormat="false" ht="15" hidden="false" customHeight="false" outlineLevel="0" collapsed="false">
      <c r="A17" s="3" t="s">
        <v>27</v>
      </c>
      <c r="B17" s="12" t="n">
        <f aca="false">INDEX('Pro إعدادات'!$B$5:$B$10,MATCH(B11,'Pro إعدادات'!$A$5:$A$10,0))</f>
        <v>1.8</v>
      </c>
    </row>
    <row r="18" customFormat="false" ht="15" hidden="false" customHeight="false" outlineLevel="0" collapsed="false">
      <c r="A18" s="3" t="s">
        <v>28</v>
      </c>
      <c r="B18" s="12" t="n">
        <f aca="false">INDEX('Pro إعدادات'!$C$5:$C$10,MATCH(B11,'Pro إعدادات'!$A$5:$A$10,0))</f>
        <v>0.9</v>
      </c>
    </row>
    <row r="19" customFormat="false" ht="15" hidden="false" customHeight="false" outlineLevel="0" collapsed="false">
      <c r="A19" s="3" t="s">
        <v>29</v>
      </c>
      <c r="B19" s="13" t="n">
        <f aca="false">INDEX('Pro إعدادات'!$D$5:$D$10,MATCH(B11,'Pro إعدادات'!$A$5:$A$10,0))</f>
        <v>0</v>
      </c>
    </row>
    <row r="21" customFormat="false" ht="15" hidden="false" customHeight="true" outlineLevel="0" collapsed="false">
      <c r="A21" s="14" t="s">
        <v>30</v>
      </c>
      <c r="B21" s="14"/>
      <c r="C21" s="14"/>
      <c r="D21" s="14"/>
      <c r="E21" s="14"/>
      <c r="F21" s="14"/>
      <c r="G21" s="14"/>
      <c r="H21" s="14"/>
    </row>
    <row r="22" customFormat="false" ht="22.35" hidden="false" customHeight="false" outlineLevel="0" collapsed="false">
      <c r="A22" s="15" t="s">
        <v>31</v>
      </c>
      <c r="B22" s="15" t="s">
        <v>32</v>
      </c>
      <c r="C22" s="15" t="s">
        <v>33</v>
      </c>
      <c r="D22" s="15" t="s">
        <v>34</v>
      </c>
      <c r="E22" s="15" t="s">
        <v>35</v>
      </c>
      <c r="F22" s="15" t="s">
        <v>36</v>
      </c>
      <c r="G22" s="15" t="s">
        <v>37</v>
      </c>
      <c r="H22" s="15" t="s">
        <v>38</v>
      </c>
      <c r="I22" s="15" t="s">
        <v>39</v>
      </c>
      <c r="J22" s="15" t="s">
        <v>40</v>
      </c>
      <c r="K22" s="15" t="s">
        <v>41</v>
      </c>
      <c r="L22" s="15" t="s">
        <v>42</v>
      </c>
      <c r="M22" s="15" t="s">
        <v>43</v>
      </c>
      <c r="N22" s="15" t="s">
        <v>44</v>
      </c>
      <c r="O22" s="15" t="s">
        <v>45</v>
      </c>
      <c r="P22" s="15" t="s">
        <v>46</v>
      </c>
    </row>
    <row r="23" customFormat="false" ht="15" hidden="false" customHeight="false" outlineLevel="0" collapsed="false">
      <c r="A23" s="16" t="s">
        <v>47</v>
      </c>
      <c r="B23" s="17" t="s">
        <v>48</v>
      </c>
      <c r="C23" s="18" t="n">
        <v>75</v>
      </c>
      <c r="D23" s="17" t="s">
        <v>49</v>
      </c>
      <c r="E23" s="19" t="n">
        <f aca="false">C23*INDEX('Pro إعدادات'!$C$14:$C$19,MATCH(B23,'Pro إعدادات'!$A$14:$A$19,0))</f>
        <v>525</v>
      </c>
      <c r="F23" s="19" t="n">
        <f aca="false">$B$15*'Pro إعدادات'!$B$22+E23</f>
        <v>2835.75</v>
      </c>
      <c r="G23" s="19" t="n">
        <f aca="false">F23*(1+$B$19)</f>
        <v>2835.75</v>
      </c>
      <c r="H23" s="20" t="n">
        <f aca="false">$B$17*$B$7</f>
        <v>144</v>
      </c>
      <c r="I23" s="20" t="n">
        <f aca="false">IF($B$12="حسب حمل التدريب (g/kg)",INDEX('Pro إعدادات'!$B$14:$B$19,MATCH(B23,'Pro إعدادات'!$A$14:$A$19,0))*$B$7,MAX(0,(G23-4*H23-9*J23)/4))</f>
        <v>480</v>
      </c>
      <c r="J23" s="20" t="n">
        <f aca="false">$B$18*$B$7</f>
        <v>72</v>
      </c>
      <c r="K23" s="19" t="n">
        <f aca="false">4*H23+4*I23+9*J23</f>
        <v>3144</v>
      </c>
      <c r="L23" s="21" t="n">
        <f aca="false">K23-G23</f>
        <v>308.25</v>
      </c>
      <c r="M23" s="22" t="n">
        <f aca="false">IF($B$7&gt;0,I23/$B$7,"")</f>
        <v>6</v>
      </c>
      <c r="N23" s="22" t="n">
        <f aca="false">('Pro إعدادات'!$B$26*$B$7+'Pro إعدادات'!$B$27*C23/60)/1000</f>
        <v>3.425</v>
      </c>
      <c r="O23" s="19" t="str">
        <f aca="false">IF($B$14="","",(K23-E23)/$B$14)</f>
        <v/>
      </c>
      <c r="P23" s="23" t="str">
        <f aca="false">TRIM(IF(K23&lt;$B$15,"⚠ السعرات أقل من BMR؛ ","")&amp;IF(H23/$B$7&lt;'Pro إعدادات'!$B$23,"⚠ بروتين منخفض؛ ","")&amp;IF(J23/$B$7&lt;'Pro إعدادات'!$B$24,"⚠ دهون منخفضة؛ ","")&amp;IF(M23&lt;'Pro إعدادات'!$B$29,"⚠ كارب منخفض؛ ","")&amp;IF(AND(O23&lt;&gt;"",N(O23)&lt;'Pro إعدادات'!$B$25),"⚠ طاقة متاحة منخفضة (RED-S)؛ ","")&amp;IF(ABS(L23)&gt;G23*0.1,"ℹ سعرات الماكروز تختلف عن هدف TDEE بأكثر من 10%؛ ",""))</f>
        <v>ℹ سعرات الماكروز تختلف عن هدف TDEE بأكثر من 10%؛</v>
      </c>
    </row>
    <row r="24" customFormat="false" ht="15" hidden="false" customHeight="false" outlineLevel="0" collapsed="false">
      <c r="A24" s="16" t="s">
        <v>50</v>
      </c>
      <c r="B24" s="17" t="s">
        <v>51</v>
      </c>
      <c r="C24" s="18" t="n">
        <v>60</v>
      </c>
      <c r="D24" s="17" t="s">
        <v>49</v>
      </c>
      <c r="E24" s="19" t="n">
        <f aca="false">C24*INDEX('Pro إعدادات'!$C$14:$C$19,MATCH(B24,'Pro إعدادات'!$A$14:$A$19,0))</f>
        <v>360</v>
      </c>
      <c r="F24" s="19" t="n">
        <f aca="false">$B$15*'Pro إعدادات'!$B$22+E24</f>
        <v>2670.75</v>
      </c>
      <c r="G24" s="19" t="n">
        <f aca="false">F24*(1+$B$19)</f>
        <v>2670.75</v>
      </c>
      <c r="H24" s="20" t="n">
        <f aca="false">$B$17*$B$7</f>
        <v>144</v>
      </c>
      <c r="I24" s="20" t="n">
        <f aca="false">IF($B$12="حسب حمل التدريب (g/kg)",INDEX('Pro إعدادات'!$B$14:$B$19,MATCH(B24,'Pro إعدادات'!$A$14:$A$19,0))*$B$7,MAX(0,(G24-4*H24-9*J24)/4))</f>
        <v>400</v>
      </c>
      <c r="J24" s="20" t="n">
        <f aca="false">$B$18*$B$7</f>
        <v>72</v>
      </c>
      <c r="K24" s="19" t="n">
        <f aca="false">4*H24+4*I24+9*J24</f>
        <v>2824</v>
      </c>
      <c r="L24" s="21" t="n">
        <f aca="false">K24-G24</f>
        <v>153.25</v>
      </c>
      <c r="M24" s="22" t="n">
        <f aca="false">IF($B$7&gt;0,I24/$B$7,"")</f>
        <v>5</v>
      </c>
      <c r="N24" s="22" t="n">
        <f aca="false">('Pro إعدادات'!$B$26*$B$7+'Pro إعدادات'!$B$27*C24/60)/1000</f>
        <v>3.3</v>
      </c>
      <c r="O24" s="19" t="str">
        <f aca="false">IF($B$14="","",(K24-E24)/$B$14)</f>
        <v/>
      </c>
      <c r="P24" s="23" t="str">
        <f aca="false">TRIM(IF(K24&lt;$B$15,"⚠ السعرات أقل من BMR؛ ","")&amp;IF(H24/$B$7&lt;'Pro إعدادات'!$B$23,"⚠ بروتين منخفض؛ ","")&amp;IF(J24/$B$7&lt;'Pro إعدادات'!$B$24,"⚠ دهون منخفضة؛ ","")&amp;IF(M24&lt;'Pro إعدادات'!$B$29,"⚠ كارب منخفض؛ ","")&amp;IF(AND(O24&lt;&gt;"",N(O24)&lt;'Pro إعدادات'!$B$25),"⚠ طاقة متاحة منخفضة (RED-S)؛ ","")&amp;IF(ABS(L24)&gt;G24*0.1,"ℹ سعرات الماكروز تختلف عن هدف TDEE بأكثر من 10%؛ ",""))</f>
        <v/>
      </c>
    </row>
    <row r="25" customFormat="false" ht="15" hidden="false" customHeight="false" outlineLevel="0" collapsed="false">
      <c r="A25" s="16" t="s">
        <v>52</v>
      </c>
      <c r="B25" s="17" t="s">
        <v>53</v>
      </c>
      <c r="C25" s="18" t="n">
        <v>0</v>
      </c>
      <c r="D25" s="17"/>
      <c r="E25" s="19" t="n">
        <f aca="false">C25*INDEX('Pro إعدادات'!$C$14:$C$19,MATCH(B25,'Pro إعدادات'!$A$14:$A$19,0))</f>
        <v>0</v>
      </c>
      <c r="F25" s="19" t="n">
        <f aca="false">$B$15*'Pro إعدادات'!$B$22+E25</f>
        <v>2310.75</v>
      </c>
      <c r="G25" s="19" t="n">
        <f aca="false">F25*(1+$B$19)</f>
        <v>2310.75</v>
      </c>
      <c r="H25" s="20" t="n">
        <f aca="false">$B$17*$B$7</f>
        <v>144</v>
      </c>
      <c r="I25" s="20" t="n">
        <f aca="false">IF($B$12="حسب حمل التدريب (g/kg)",INDEX('Pro إعدادات'!$B$14:$B$19,MATCH(B25,'Pro إعدادات'!$A$14:$A$19,0))*$B$7,MAX(0,(G25-4*H25-9*J25)/4))</f>
        <v>240</v>
      </c>
      <c r="J25" s="20" t="n">
        <f aca="false">$B$18*$B$7</f>
        <v>72</v>
      </c>
      <c r="K25" s="19" t="n">
        <f aca="false">4*H25+4*I25+9*J25</f>
        <v>2184</v>
      </c>
      <c r="L25" s="21" t="n">
        <f aca="false">K25-G25</f>
        <v>-126.75</v>
      </c>
      <c r="M25" s="22" t="n">
        <f aca="false">IF($B$7&gt;0,I25/$B$7,"")</f>
        <v>3</v>
      </c>
      <c r="N25" s="22" t="n">
        <f aca="false">('Pro إعدادات'!$B$26*$B$7+'Pro إعدادات'!$B$27*C25/60)/1000</f>
        <v>2.8</v>
      </c>
      <c r="O25" s="19" t="str">
        <f aca="false">IF($B$14="","",(K25-E25)/$B$14)</f>
        <v/>
      </c>
      <c r="P25" s="23" t="str">
        <f aca="false">TRIM(IF(K25&lt;$B$15,"⚠ السعرات أقل من BMR؛ ","")&amp;IF(H25/$B$7&lt;'Pro إعدادات'!$B$23,"⚠ بروتين منخفض؛ ","")&amp;IF(J25/$B$7&lt;'Pro إعدادات'!$B$24,"⚠ دهون منخفضة؛ ","")&amp;IF(M25&lt;'Pro إعدادات'!$B$29,"⚠ كارب منخفض؛ ","")&amp;IF(AND(O25&lt;&gt;"",N(O25)&lt;'Pro إعدادات'!$B$25),"⚠ طاقة متاحة منخفضة (RED-S)؛ ","")&amp;IF(ABS(L25)&gt;G25*0.1,"ℹ سعرات الماكروز تختلف عن هدف TDEE بأكثر من 10%؛ ",""))</f>
        <v/>
      </c>
    </row>
    <row r="26" customFormat="false" ht="15" hidden="false" customHeight="false" outlineLevel="0" collapsed="false">
      <c r="A26" s="16" t="s">
        <v>54</v>
      </c>
      <c r="B26" s="17" t="s">
        <v>48</v>
      </c>
      <c r="C26" s="18" t="n">
        <v>75</v>
      </c>
      <c r="D26" s="17" t="s">
        <v>49</v>
      </c>
      <c r="E26" s="19" t="n">
        <f aca="false">C26*INDEX('Pro إعدادات'!$C$14:$C$19,MATCH(B26,'Pro إعدادات'!$A$14:$A$19,0))</f>
        <v>525</v>
      </c>
      <c r="F26" s="19" t="n">
        <f aca="false">$B$15*'Pro إعدادات'!$B$22+E26</f>
        <v>2835.75</v>
      </c>
      <c r="G26" s="19" t="n">
        <f aca="false">F26*(1+$B$19)</f>
        <v>2835.75</v>
      </c>
      <c r="H26" s="20" t="n">
        <f aca="false">$B$17*$B$7</f>
        <v>144</v>
      </c>
      <c r="I26" s="20" t="n">
        <f aca="false">IF($B$12="حسب حمل التدريب (g/kg)",INDEX('Pro إعدادات'!$B$14:$B$19,MATCH(B26,'Pro إعدادات'!$A$14:$A$19,0))*$B$7,MAX(0,(G26-4*H26-9*J26)/4))</f>
        <v>480</v>
      </c>
      <c r="J26" s="20" t="n">
        <f aca="false">$B$18*$B$7</f>
        <v>72</v>
      </c>
      <c r="K26" s="19" t="n">
        <f aca="false">4*H26+4*I26+9*J26</f>
        <v>3144</v>
      </c>
      <c r="L26" s="21" t="n">
        <f aca="false">K26-G26</f>
        <v>308.25</v>
      </c>
      <c r="M26" s="22" t="n">
        <f aca="false">IF($B$7&gt;0,I26/$B$7,"")</f>
        <v>6</v>
      </c>
      <c r="N26" s="22" t="n">
        <f aca="false">('Pro إعدادات'!$B$26*$B$7+'Pro إعدادات'!$B$27*C26/60)/1000</f>
        <v>3.425</v>
      </c>
      <c r="O26" s="19" t="str">
        <f aca="false">IF($B$14="","",(K26-E26)/$B$14)</f>
        <v/>
      </c>
      <c r="P26" s="23" t="str">
        <f aca="false">TRIM(IF(K26&lt;$B$15,"⚠ السعرات أقل من BMR؛ ","")&amp;IF(H26/$B$7&lt;'Pro إعدادات'!$B$23,"⚠ بروتين منخفض؛ ","")&amp;IF(J26/$B$7&lt;'Pro إعدادات'!$B$24,"⚠ دهون منخفضة؛ ","")&amp;IF(M26&lt;'Pro إعدادات'!$B$29,"⚠ كارب منخفض؛ ","")&amp;IF(AND(O26&lt;&gt;"",N(O26)&lt;'Pro إعدادات'!$B$25),"⚠ طاقة متاحة منخفضة (RED-S)؛ ","")&amp;IF(ABS(L26)&gt;G26*0.1,"ℹ سعرات الماكروز تختلف عن هدف TDEE بأكثر من 10%؛ ",""))</f>
        <v>ℹ سعرات الماكروز تختلف عن هدف TDEE بأكثر من 10%؛</v>
      </c>
    </row>
    <row r="27" customFormat="false" ht="15" hidden="false" customHeight="false" outlineLevel="0" collapsed="false">
      <c r="A27" s="16" t="s">
        <v>55</v>
      </c>
      <c r="B27" s="17" t="s">
        <v>51</v>
      </c>
      <c r="C27" s="18" t="n">
        <v>60</v>
      </c>
      <c r="D27" s="17" t="s">
        <v>49</v>
      </c>
      <c r="E27" s="19" t="n">
        <f aca="false">C27*INDEX('Pro إعدادات'!$C$14:$C$19,MATCH(B27,'Pro إعدادات'!$A$14:$A$19,0))</f>
        <v>360</v>
      </c>
      <c r="F27" s="19" t="n">
        <f aca="false">$B$15*'Pro إعدادات'!$B$22+E27</f>
        <v>2670.75</v>
      </c>
      <c r="G27" s="19" t="n">
        <f aca="false">F27*(1+$B$19)</f>
        <v>2670.75</v>
      </c>
      <c r="H27" s="20" t="n">
        <f aca="false">$B$17*$B$7</f>
        <v>144</v>
      </c>
      <c r="I27" s="20" t="n">
        <f aca="false">IF($B$12="حسب حمل التدريب (g/kg)",INDEX('Pro إعدادات'!$B$14:$B$19,MATCH(B27,'Pro إعدادات'!$A$14:$A$19,0))*$B$7,MAX(0,(G27-4*H27-9*J27)/4))</f>
        <v>400</v>
      </c>
      <c r="J27" s="20" t="n">
        <f aca="false">$B$18*$B$7</f>
        <v>72</v>
      </c>
      <c r="K27" s="19" t="n">
        <f aca="false">4*H27+4*I27+9*J27</f>
        <v>2824</v>
      </c>
      <c r="L27" s="21" t="n">
        <f aca="false">K27-G27</f>
        <v>153.25</v>
      </c>
      <c r="M27" s="22" t="n">
        <f aca="false">IF($B$7&gt;0,I27/$B$7,"")</f>
        <v>5</v>
      </c>
      <c r="N27" s="22" t="n">
        <f aca="false">('Pro إعدادات'!$B$26*$B$7+'Pro إعدادات'!$B$27*C27/60)/1000</f>
        <v>3.3</v>
      </c>
      <c r="O27" s="19" t="str">
        <f aca="false">IF($B$14="","",(K27-E27)/$B$14)</f>
        <v/>
      </c>
      <c r="P27" s="23" t="str">
        <f aca="false">TRIM(IF(K27&lt;$B$15,"⚠ السعرات أقل من BMR؛ ","")&amp;IF(H27/$B$7&lt;'Pro إعدادات'!$B$23,"⚠ بروتين منخفض؛ ","")&amp;IF(J27/$B$7&lt;'Pro إعدادات'!$B$24,"⚠ دهون منخفضة؛ ","")&amp;IF(M27&lt;'Pro إعدادات'!$B$29,"⚠ كارب منخفض؛ ","")&amp;IF(AND(O27&lt;&gt;"",N(O27)&lt;'Pro إعدادات'!$B$25),"⚠ طاقة متاحة منخفضة (RED-S)؛ ","")&amp;IF(ABS(L27)&gt;G27*0.1,"ℹ سعرات الماكروز تختلف عن هدف TDEE بأكثر من 10%؛ ",""))</f>
        <v/>
      </c>
    </row>
    <row r="28" customFormat="false" ht="15" hidden="false" customHeight="false" outlineLevel="0" collapsed="false">
      <c r="A28" s="16" t="s">
        <v>56</v>
      </c>
      <c r="B28" s="17" t="s">
        <v>53</v>
      </c>
      <c r="C28" s="18" t="n">
        <v>0</v>
      </c>
      <c r="D28" s="17"/>
      <c r="E28" s="19" t="n">
        <f aca="false">C28*INDEX('Pro إعدادات'!$C$14:$C$19,MATCH(B28,'Pro إعدادات'!$A$14:$A$19,0))</f>
        <v>0</v>
      </c>
      <c r="F28" s="19" t="n">
        <f aca="false">$B$15*'Pro إعدادات'!$B$22+E28</f>
        <v>2310.75</v>
      </c>
      <c r="G28" s="19" t="n">
        <f aca="false">F28*(1+$B$19)</f>
        <v>2310.75</v>
      </c>
      <c r="H28" s="20" t="n">
        <f aca="false">$B$17*$B$7</f>
        <v>144</v>
      </c>
      <c r="I28" s="20" t="n">
        <f aca="false">IF($B$12="حسب حمل التدريب (g/kg)",INDEX('Pro إعدادات'!$B$14:$B$19,MATCH(B28,'Pro إعدادات'!$A$14:$A$19,0))*$B$7,MAX(0,(G28-4*H28-9*J28)/4))</f>
        <v>240</v>
      </c>
      <c r="J28" s="20" t="n">
        <f aca="false">$B$18*$B$7</f>
        <v>72</v>
      </c>
      <c r="K28" s="19" t="n">
        <f aca="false">4*H28+4*I28+9*J28</f>
        <v>2184</v>
      </c>
      <c r="L28" s="21" t="n">
        <f aca="false">K28-G28</f>
        <v>-126.75</v>
      </c>
      <c r="M28" s="22" t="n">
        <f aca="false">IF($B$7&gt;0,I28/$B$7,"")</f>
        <v>3</v>
      </c>
      <c r="N28" s="22" t="n">
        <f aca="false">('Pro إعدادات'!$B$26*$B$7+'Pro إعدادات'!$B$27*C28/60)/1000</f>
        <v>2.8</v>
      </c>
      <c r="O28" s="19" t="str">
        <f aca="false">IF($B$14="","",(K28-E28)/$B$14)</f>
        <v/>
      </c>
      <c r="P28" s="23" t="str">
        <f aca="false">TRIM(IF(K28&lt;$B$15,"⚠ السعرات أقل من BMR؛ ","")&amp;IF(H28/$B$7&lt;'Pro إعدادات'!$B$23,"⚠ بروتين منخفض؛ ","")&amp;IF(J28/$B$7&lt;'Pro إعدادات'!$B$24,"⚠ دهون منخفضة؛ ","")&amp;IF(M28&lt;'Pro إعدادات'!$B$29,"⚠ كارب منخفض؛ ","")&amp;IF(AND(O28&lt;&gt;"",N(O28)&lt;'Pro إعدادات'!$B$25),"⚠ طاقة متاحة منخفضة (RED-S)؛ ","")&amp;IF(ABS(L28)&gt;G28*0.1,"ℹ سعرات الماكروز تختلف عن هدف TDEE بأكثر من 10%؛ ",""))</f>
        <v/>
      </c>
    </row>
    <row r="29" customFormat="false" ht="15" hidden="false" customHeight="false" outlineLevel="0" collapsed="false">
      <c r="A29" s="16" t="s">
        <v>57</v>
      </c>
      <c r="B29" s="17" t="s">
        <v>58</v>
      </c>
      <c r="C29" s="18" t="n">
        <v>45</v>
      </c>
      <c r="D29" s="17" t="s">
        <v>59</v>
      </c>
      <c r="E29" s="19" t="n">
        <f aca="false">C29*INDEX('Pro إعدادات'!$C$14:$C$19,MATCH(B29,'Pro إعدادات'!$A$14:$A$19,0))</f>
        <v>225</v>
      </c>
      <c r="F29" s="19" t="n">
        <f aca="false">$B$15*'Pro إعدادات'!$B$22+E29</f>
        <v>2535.75</v>
      </c>
      <c r="G29" s="19" t="n">
        <f aca="false">F29*(1+$B$19)</f>
        <v>2535.75</v>
      </c>
      <c r="H29" s="20" t="n">
        <f aca="false">$B$17*$B$7</f>
        <v>144</v>
      </c>
      <c r="I29" s="20" t="n">
        <f aca="false">IF($B$12="حسب حمل التدريب (g/kg)",INDEX('Pro إعدادات'!$B$14:$B$19,MATCH(B29,'Pro إعدادات'!$A$14:$A$19,0))*$B$7,MAX(0,(G29-4*H29-9*J29)/4))</f>
        <v>320</v>
      </c>
      <c r="J29" s="20" t="n">
        <f aca="false">$B$18*$B$7</f>
        <v>72</v>
      </c>
      <c r="K29" s="19" t="n">
        <f aca="false">4*H29+4*I29+9*J29</f>
        <v>2504</v>
      </c>
      <c r="L29" s="21" t="n">
        <f aca="false">K29-G29</f>
        <v>-31.75</v>
      </c>
      <c r="M29" s="22" t="n">
        <f aca="false">IF($B$7&gt;0,I29/$B$7,"")</f>
        <v>4</v>
      </c>
      <c r="N29" s="22" t="n">
        <f aca="false">('Pro إعدادات'!$B$26*$B$7+'Pro إعدادات'!$B$27*C29/60)/1000</f>
        <v>3.175</v>
      </c>
      <c r="O29" s="19" t="str">
        <f aca="false">IF($B$14="","",(K29-E29)/$B$14)</f>
        <v/>
      </c>
      <c r="P29" s="23" t="str">
        <f aca="false">TRIM(IF(K29&lt;$B$15,"⚠ السعرات أقل من BMR؛ ","")&amp;IF(H29/$B$7&lt;'Pro إعدادات'!$B$23,"⚠ بروتين منخفض؛ ","")&amp;IF(J29/$B$7&lt;'Pro إعدادات'!$B$24,"⚠ دهون منخفضة؛ ","")&amp;IF(M29&lt;'Pro إعدادات'!$B$29,"⚠ كارب منخفض؛ ","")&amp;IF(AND(O29&lt;&gt;"",N(O29)&lt;'Pro إعدادات'!$B$25),"⚠ طاقة متاحة منخفضة (RED-S)؛ ","")&amp;IF(ABS(L29)&gt;G29*0.1,"ℹ سعرات الماكروز تختلف عن هدف TDEE بأكثر من 10%؛ ",""))</f>
        <v/>
      </c>
    </row>
    <row r="31" customFormat="false" ht="15" hidden="false" customHeight="false" outlineLevel="0" collapsed="false">
      <c r="A31" s="24" t="s">
        <v>60</v>
      </c>
      <c r="E31" s="25" t="n">
        <f aca="false">AVERAGE(E23:E29)</f>
        <v>285</v>
      </c>
      <c r="F31" s="25" t="n">
        <f aca="false">AVERAGE(F23:F29)</f>
        <v>2595.75</v>
      </c>
      <c r="G31" s="25" t="n">
        <f aca="false">AVERAGE(G23:G29)</f>
        <v>2595.75</v>
      </c>
      <c r="H31" s="25" t="n">
        <f aca="false">AVERAGE(H23:H29)</f>
        <v>144</v>
      </c>
      <c r="I31" s="25" t="n">
        <f aca="false">AVERAGE(I23:I29)</f>
        <v>365.714285714286</v>
      </c>
      <c r="J31" s="25" t="n">
        <f aca="false">AVERAGE(J23:J29)</f>
        <v>72</v>
      </c>
      <c r="K31" s="25" t="n">
        <f aca="false">AVERAGE(K23:K29)</f>
        <v>2686.85714285714</v>
      </c>
      <c r="N31" s="26" t="n">
        <f aca="false">AVERAGE(N23:N29)</f>
        <v>3.175</v>
      </c>
    </row>
    <row r="33" customFormat="false" ht="15" hidden="false" customHeight="true" outlineLevel="0" collapsed="false">
      <c r="A33" s="14" t="s">
        <v>61</v>
      </c>
      <c r="B33" s="14"/>
      <c r="C33" s="14"/>
      <c r="D33" s="14"/>
    </row>
    <row r="34" customFormat="false" ht="15" hidden="false" customHeight="false" outlineLevel="0" collapsed="false">
      <c r="A34" s="3" t="s">
        <v>62</v>
      </c>
      <c r="B34" s="27" t="n">
        <v>46306</v>
      </c>
    </row>
    <row r="35" customFormat="false" ht="15" hidden="false" customHeight="false" outlineLevel="0" collapsed="false">
      <c r="A35" s="3" t="s">
        <v>63</v>
      </c>
      <c r="B35" s="5" t="s">
        <v>64</v>
      </c>
    </row>
    <row r="36" customFormat="false" ht="15" hidden="false" customHeight="false" outlineLevel="0" collapsed="false">
      <c r="A36" s="3" t="s">
        <v>65</v>
      </c>
      <c r="B36" s="5"/>
    </row>
    <row r="37" customFormat="false" ht="15" hidden="false" customHeight="false" outlineLevel="0" collapsed="false">
      <c r="A37" s="3" t="s">
        <v>66</v>
      </c>
      <c r="B37" s="27" t="n">
        <v>46320</v>
      </c>
    </row>
    <row r="38" customFormat="false" ht="15" hidden="false" customHeight="false" outlineLevel="0" collapsed="false">
      <c r="A38" s="3" t="s">
        <v>67</v>
      </c>
      <c r="B38" s="5" t="s">
        <v>68</v>
      </c>
    </row>
    <row r="39" customFormat="false" ht="15" hidden="false" customHeight="false" outlineLevel="0" collapsed="false">
      <c r="A39" s="3" t="s">
        <v>69</v>
      </c>
      <c r="B39" s="7"/>
    </row>
    <row r="40" customFormat="false" ht="15" hidden="false" customHeight="false" outlineLevel="0" collapsed="false">
      <c r="A40" s="3" t="s">
        <v>70</v>
      </c>
      <c r="B40" s="6" t="n">
        <v>8</v>
      </c>
    </row>
    <row r="41" customFormat="false" ht="15" hidden="false" customHeight="false" outlineLevel="0" collapsed="false">
      <c r="A41" s="3" t="s">
        <v>71</v>
      </c>
      <c r="B41" s="5"/>
    </row>
  </sheetData>
  <sheetProtection sheet="true" formatColumns="false" formatRows="false" sort="false" autoFilter="false"/>
  <mergeCells count="4">
    <mergeCell ref="A1:P1"/>
    <mergeCell ref="A2:P2"/>
    <mergeCell ref="A21:H21"/>
    <mergeCell ref="A33:D33"/>
  </mergeCells>
  <conditionalFormatting sqref="P23:P29">
    <cfRule type="expression" priority="2" aboveAverage="0" equalAverage="0" bottom="0" percent="0" rank="0" text="" dxfId="0">
      <formula>LEFT($P23,1)="⚠"</formula>
    </cfRule>
  </conditionalFormatting>
  <dataValidations count="4">
    <dataValidation allowBlank="true" error="قيمة غير مسموحة" errorStyle="stop" errorTitle="خطأ" operator="between" showDropDown="false" showErrorMessage="false" showInputMessage="false" sqref="B5" type="list">
      <formula1>'قوائم النظام'!$A$2:$A$3</formula1>
      <formula2>0</formula2>
    </dataValidation>
    <dataValidation allowBlank="true" error="قيمة غير مسموحة" errorStyle="stop" errorTitle="خطأ" operator="between" showDropDown="false" showErrorMessage="false" showInputMessage="false" sqref="B11" type="list">
      <formula1>'Pro إعدادات'!$A$5:$A$10</formula1>
      <formula2>0</formula2>
    </dataValidation>
    <dataValidation allowBlank="true" error="قيمة غير مسموحة" errorStyle="stop" errorTitle="خطأ" operator="between" showDropDown="false" showErrorMessage="false" showInputMessage="false" sqref="B12" type="list">
      <formula1>"حسب حمل التدريب (g/kg),يملأ المتبقي من سعرات الهدف"</formula1>
      <formula2>0</formula2>
    </dataValidation>
    <dataValidation allowBlank="true" error="قيمة غير مسموحة" errorStyle="stop" errorTitle="خطأ" operator="between" showDropDown="false" showErrorMessage="false" showInputMessage="false" sqref="B23:B29" type="list">
      <formula1>'Pro إعدادات'!$A$14:$A$19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38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0"/>
    <col collapsed="false" customWidth="true" hidden="false" outlineLevel="0" max="8" min="3" style="0" width="9"/>
    <col collapsed="false" customWidth="true" hidden="false" outlineLevel="0" max="17" min="9" style="0" width="10"/>
    <col collapsed="false" customWidth="true" hidden="true" outlineLevel="0" max="20" min="19" style="0" width="13"/>
  </cols>
  <sheetData>
    <row r="1" customFormat="false" ht="30" hidden="false" customHeight="true" outlineLevel="0" collapsed="false">
      <c r="A1" s="1" t="s">
        <v>72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15" hidden="false" customHeight="true" outlineLevel="0" collapsed="false">
      <c r="A2" s="4" t="s">
        <v>73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4" customFormat="false" ht="17.35" hidden="false" customHeight="false" outlineLevel="0" collapsed="false">
      <c r="A4" s="28" t="str">
        <f aca="false">"الأحد — "&amp;'Pro ملف الرياضي'!B23&amp;"  |  الهدف: "&amp;ROUND('Pro ملف الرياضي'!G23,0)&amp;" kcal  •  بروتين "&amp;ROUND('Pro ملف الرياضي'!H23,0)&amp;" جم  •  كارب "&amp;ROUND('Pro ملف الرياضي'!I23,0)&amp;" جم  •  دهون "&amp;ROUND('Pro ملف الرياضي'!J23,0)&amp;" جم"</f>
        <v>الأحد — تدريب ثقيل  |  الهدف: 2836 kcal  •  بروتين 144 جم  •  كارب 480 جم  •  دهون 72 جم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T4" s="29" t="n">
        <f aca="false">IF(INDEX('Pro إعدادات'!$D$14:$D$19,MATCH('Pro ملف الرياضي'!B23,'Pro إعدادات'!$A$14:$A$19,0))="نعم",1,0)</f>
        <v>1</v>
      </c>
    </row>
    <row r="5" customFormat="false" ht="15" hidden="false" customHeight="false" outlineLevel="0" collapsed="false">
      <c r="A5" s="15" t="s">
        <v>74</v>
      </c>
      <c r="B5" s="15" t="s">
        <v>75</v>
      </c>
      <c r="C5" s="15" t="s">
        <v>76</v>
      </c>
      <c r="D5" s="15" t="s">
        <v>77</v>
      </c>
      <c r="E5" s="15" t="s">
        <v>38</v>
      </c>
      <c r="F5" s="15" t="s">
        <v>39</v>
      </c>
      <c r="G5" s="15" t="s">
        <v>40</v>
      </c>
      <c r="H5" s="15" t="s">
        <v>78</v>
      </c>
      <c r="I5" s="15" t="s">
        <v>79</v>
      </c>
      <c r="J5" s="15" t="s">
        <v>80</v>
      </c>
      <c r="K5" s="15" t="s">
        <v>81</v>
      </c>
      <c r="L5" s="15" t="s">
        <v>82</v>
      </c>
      <c r="M5" s="15" t="s">
        <v>83</v>
      </c>
      <c r="N5" s="15" t="s">
        <v>84</v>
      </c>
      <c r="O5" s="15" t="s">
        <v>85</v>
      </c>
      <c r="P5" s="15" t="s">
        <v>86</v>
      </c>
      <c r="Q5" s="15" t="s">
        <v>87</v>
      </c>
    </row>
    <row r="6" customFormat="false" ht="15" hidden="false" customHeight="false" outlineLevel="0" collapsed="false">
      <c r="A6" s="14" t="str">
        <f aca="false">'Pro إعدادات'!A33&amp;" ("&amp;'Pro إعدادات'!B33&amp;")"</f>
        <v>الإفطار (07:30)</v>
      </c>
      <c r="B6" s="5" t="s">
        <v>88</v>
      </c>
      <c r="C6" s="18" t="n">
        <v>90</v>
      </c>
      <c r="D6" s="19" t="n">
        <f aca="false">IF(OR($S6="",N($C6)=0),"",$C6/100*N(INDEX('Pro قاعدة الأغذية'!$F$5:$F$604,$S6)))</f>
        <v>341.1</v>
      </c>
      <c r="E6" s="22" t="n">
        <f aca="false">IF(OR($S6="",N($C6)=0),"",$C6/100*N(INDEX('Pro قاعدة الأغذية'!$G$5:$G$604,$S6)))</f>
        <v>11.88</v>
      </c>
      <c r="F6" s="22" t="n">
        <f aca="false">IF(OR($S6="",N($C6)=0),"",$C6/100*N(INDEX('Pro قاعدة الأغذية'!$H$5:$H$604,$S6)))</f>
        <v>60.93</v>
      </c>
      <c r="G6" s="22" t="n">
        <f aca="false">IF(OR($S6="",N($C6)=0),"",$C6/100*N(INDEX('Pro قاعدة الأغذية'!$I$5:$I$604,$S6)))</f>
        <v>5.868</v>
      </c>
      <c r="H6" s="22" t="n">
        <f aca="false">IF(OR($S6="",N($C6)=0),"",$C6/100*N(INDEX('Pro قاعدة الأغذية'!$J$5:$J$604,$S6)))</f>
        <v>9.09</v>
      </c>
      <c r="I6" s="19" t="n">
        <f aca="false">IF(OR($S6="",N($C6)=0),"",$C6/100*N(INDEX('Pro قاعدة الأغذية'!$L$5:$L$604,$S6)))</f>
        <v>5.4</v>
      </c>
      <c r="J6" s="30" t="str">
        <f aca="false">IF($S6="","",INDEX('Pro قاعدة الأغذية'!$E$5:$E$604,$S6))</f>
        <v>مجفّف/جاف</v>
      </c>
      <c r="S6" s="31" t="n">
        <f aca="false">IF(B6="","",IFERROR(MATCH(B6,'Pro قاعدة الأغذية'!$C$5:$C$604,0),""))</f>
        <v>12</v>
      </c>
    </row>
    <row r="7" customFormat="false" ht="15" hidden="false" customHeight="false" outlineLevel="0" collapsed="false">
      <c r="A7" s="24"/>
      <c r="B7" s="5" t="s">
        <v>89</v>
      </c>
      <c r="C7" s="18" t="n">
        <v>100</v>
      </c>
      <c r="D7" s="19" t="n">
        <f aca="false">IF(OR($S7="",N($C7)=0),"",$C7/100*N(INDEX('Pro قاعدة الأغذية'!$F$5:$F$604,$S7)))</f>
        <v>155</v>
      </c>
      <c r="E7" s="22" t="n">
        <f aca="false">IF(OR($S7="",N($C7)=0),"",$C7/100*N(INDEX('Pro قاعدة الأغذية'!$G$5:$G$604,$S7)))</f>
        <v>12.6</v>
      </c>
      <c r="F7" s="22" t="n">
        <f aca="false">IF(OR($S7="",N($C7)=0),"",$C7/100*N(INDEX('Pro قاعدة الأغذية'!$H$5:$H$604,$S7)))</f>
        <v>1.12</v>
      </c>
      <c r="G7" s="22" t="n">
        <f aca="false">IF(OR($S7="",N($C7)=0),"",$C7/100*N(INDEX('Pro قاعدة الأغذية'!$I$5:$I$604,$S7)))</f>
        <v>10.6</v>
      </c>
      <c r="H7" s="22" t="n">
        <f aca="false">IF(OR($S7="",N($C7)=0),"",$C7/100*N(INDEX('Pro قاعدة الأغذية'!$J$5:$J$604,$S7)))</f>
        <v>0</v>
      </c>
      <c r="I7" s="19" t="n">
        <f aca="false">IF(OR($S7="",N($C7)=0),"",$C7/100*N(INDEX('Pro قاعدة الأغذية'!$L$5:$L$604,$S7)))</f>
        <v>124</v>
      </c>
      <c r="J7" s="30" t="str">
        <f aca="false">IF($S7="","",INDEX('Pro قاعدة الأغذية'!$E$5:$E$604,$S7))</f>
        <v>مطبوخ</v>
      </c>
      <c r="S7" s="31" t="n">
        <f aca="false">IF(B7="","",IFERROR(MATCH(B7,'Pro قاعدة الأغذية'!$C$5:$C$604,0),""))</f>
        <v>42</v>
      </c>
    </row>
    <row r="8" customFormat="false" ht="15" hidden="false" customHeight="false" outlineLevel="0" collapsed="false">
      <c r="A8" s="24"/>
      <c r="B8" s="5" t="s">
        <v>90</v>
      </c>
      <c r="C8" s="18" t="n">
        <v>120</v>
      </c>
      <c r="D8" s="19" t="n">
        <f aca="false">IF(OR($S8="",N($C8)=0),"",$C8/100*N(INDEX('Pro قاعدة الأغذية'!$F$5:$F$604,$S8)))</f>
        <v>106.8</v>
      </c>
      <c r="E8" s="22" t="n">
        <f aca="false">IF(OR($S8="",N($C8)=0),"",$C8/100*N(INDEX('Pro قاعدة الأغذية'!$G$5:$G$604,$S8)))</f>
        <v>1.308</v>
      </c>
      <c r="F8" s="22" t="n">
        <f aca="false">IF(OR($S8="",N($C8)=0),"",$C8/100*N(INDEX('Pro قاعدة الأغذية'!$H$5:$H$604,$S8)))</f>
        <v>27.36</v>
      </c>
      <c r="G8" s="22" t="n">
        <f aca="false">IF(OR($S8="",N($C8)=0),"",$C8/100*N(INDEX('Pro قاعدة الأغذية'!$I$5:$I$604,$S8)))</f>
        <v>0.396</v>
      </c>
      <c r="H8" s="22" t="n">
        <f aca="false">IF(OR($S8="",N($C8)=0),"",$C8/100*N(INDEX('Pro قاعدة الأغذية'!$J$5:$J$604,$S8)))</f>
        <v>3.12</v>
      </c>
      <c r="I8" s="19" t="n">
        <f aca="false">IF(OR($S8="",N($C8)=0),"",$C8/100*N(INDEX('Pro قاعدة الأغذية'!$L$5:$L$604,$S8)))</f>
        <v>1.2</v>
      </c>
      <c r="J8" s="30" t="str">
        <f aca="false">IF($S8="","",INDEX('Pro قاعدة الأغذية'!$E$5:$E$604,$S8))</f>
        <v>نيء</v>
      </c>
      <c r="S8" s="31" t="n">
        <f aca="false">IF(B8="","",IFERROR(MATCH(B8,'Pro قاعدة الأغذية'!$C$5:$C$604,0),""))</f>
        <v>78</v>
      </c>
    </row>
    <row r="9" customFormat="false" ht="15" hidden="false" customHeight="false" outlineLevel="0" collapsed="false">
      <c r="A9" s="24"/>
      <c r="B9" s="5"/>
      <c r="C9" s="18"/>
      <c r="D9" s="19" t="str">
        <f aca="false">IF(OR($S9="",N($C9)=0),"",$C9/100*N(INDEX('Pro قاعدة الأغذية'!$F$5:$F$604,$S9)))</f>
        <v/>
      </c>
      <c r="E9" s="22" t="str">
        <f aca="false">IF(OR($S9="",N($C9)=0),"",$C9/100*N(INDEX('Pro قاعدة الأغذية'!$G$5:$G$604,$S9)))</f>
        <v/>
      </c>
      <c r="F9" s="22" t="str">
        <f aca="false">IF(OR($S9="",N($C9)=0),"",$C9/100*N(INDEX('Pro قاعدة الأغذية'!$H$5:$H$604,$S9)))</f>
        <v/>
      </c>
      <c r="G9" s="22" t="str">
        <f aca="false">IF(OR($S9="",N($C9)=0),"",$C9/100*N(INDEX('Pro قاعدة الأغذية'!$I$5:$I$604,$S9)))</f>
        <v/>
      </c>
      <c r="H9" s="22" t="str">
        <f aca="false">IF(OR($S9="",N($C9)=0),"",$C9/100*N(INDEX('Pro قاعدة الأغذية'!$J$5:$J$604,$S9)))</f>
        <v/>
      </c>
      <c r="I9" s="19" t="str">
        <f aca="false">IF(OR($S9="",N($C9)=0),"",$C9/100*N(INDEX('Pro قاعدة الأغذية'!$L$5:$L$604,$S9)))</f>
        <v/>
      </c>
      <c r="J9" s="30" t="str">
        <f aca="false">IF($S9="","",INDEX('Pro قاعدة الأغذية'!$E$5:$E$604,$S9))</f>
        <v/>
      </c>
      <c r="S9" s="31" t="str">
        <f aca="false">IF(B9="","",IFERROR(MATCH(B9,'Pro قاعدة الأغذية'!$C$5:$C$604,0),""))</f>
        <v/>
      </c>
    </row>
    <row r="10" customFormat="false" ht="15" hidden="false" customHeight="false" outlineLevel="0" collapsed="false">
      <c r="A10" s="24"/>
      <c r="B10" s="5"/>
      <c r="C10" s="18"/>
      <c r="D10" s="19" t="str">
        <f aca="false">IF(OR($S10="",N($C10)=0),"",$C10/100*N(INDEX('Pro قاعدة الأغذية'!$F$5:$F$604,$S10)))</f>
        <v/>
      </c>
      <c r="E10" s="22" t="str">
        <f aca="false">IF(OR($S10="",N($C10)=0),"",$C10/100*N(INDEX('Pro قاعدة الأغذية'!$G$5:$G$604,$S10)))</f>
        <v/>
      </c>
      <c r="F10" s="22" t="str">
        <f aca="false">IF(OR($S10="",N($C10)=0),"",$C10/100*N(INDEX('Pro قاعدة الأغذية'!$H$5:$H$604,$S10)))</f>
        <v/>
      </c>
      <c r="G10" s="22" t="str">
        <f aca="false">IF(OR($S10="",N($C10)=0),"",$C10/100*N(INDEX('Pro قاعدة الأغذية'!$I$5:$I$604,$S10)))</f>
        <v/>
      </c>
      <c r="H10" s="22" t="str">
        <f aca="false">IF(OR($S10="",N($C10)=0),"",$C10/100*N(INDEX('Pro قاعدة الأغذية'!$J$5:$J$604,$S10)))</f>
        <v/>
      </c>
      <c r="I10" s="19" t="str">
        <f aca="false">IF(OR($S10="",N($C10)=0),"",$C10/100*N(INDEX('Pro قاعدة الأغذية'!$L$5:$L$604,$S10)))</f>
        <v/>
      </c>
      <c r="J10" s="30" t="str">
        <f aca="false">IF($S10="","",INDEX('Pro قاعدة الأغذية'!$E$5:$E$604,$S10))</f>
        <v/>
      </c>
      <c r="S10" s="31" t="str">
        <f aca="false">IF(B10="","",IFERROR(MATCH(B10,'Pro قاعدة الأغذية'!$C$5:$C$604,0),""))</f>
        <v/>
      </c>
    </row>
    <row r="11" customFormat="false" ht="15" hidden="false" customHeight="false" outlineLevel="0" collapsed="false">
      <c r="A11" s="24"/>
      <c r="B11" s="5"/>
      <c r="C11" s="18"/>
      <c r="D11" s="19" t="str">
        <f aca="false">IF(OR($S11="",N($C11)=0),"",$C11/100*N(INDEX('Pro قاعدة الأغذية'!$F$5:$F$604,$S11)))</f>
        <v/>
      </c>
      <c r="E11" s="22" t="str">
        <f aca="false">IF(OR($S11="",N($C11)=0),"",$C11/100*N(INDEX('Pro قاعدة الأغذية'!$G$5:$G$604,$S11)))</f>
        <v/>
      </c>
      <c r="F11" s="22" t="str">
        <f aca="false">IF(OR($S11="",N($C11)=0),"",$C11/100*N(INDEX('Pro قاعدة الأغذية'!$H$5:$H$604,$S11)))</f>
        <v/>
      </c>
      <c r="G11" s="22" t="str">
        <f aca="false">IF(OR($S11="",N($C11)=0),"",$C11/100*N(INDEX('Pro قاعدة الأغذية'!$I$5:$I$604,$S11)))</f>
        <v/>
      </c>
      <c r="H11" s="22" t="str">
        <f aca="false">IF(OR($S11="",N($C11)=0),"",$C11/100*N(INDEX('Pro قاعدة الأغذية'!$J$5:$J$604,$S11)))</f>
        <v/>
      </c>
      <c r="I11" s="19" t="str">
        <f aca="false">IF(OR($S11="",N($C11)=0),"",$C11/100*N(INDEX('Pro قاعدة الأغذية'!$L$5:$L$604,$S11)))</f>
        <v/>
      </c>
      <c r="J11" s="30" t="str">
        <f aca="false">IF($S11="","",INDEX('Pro قاعدة الأغذية'!$E$5:$E$604,$S11))</f>
        <v/>
      </c>
      <c r="S11" s="31" t="str">
        <f aca="false">IF(B11="","",IFERROR(MATCH(B11,'Pro قاعدة الأغذية'!$C$5:$C$604,0),""))</f>
        <v/>
      </c>
    </row>
    <row r="12" customFormat="false" ht="15" hidden="false" customHeight="false" outlineLevel="0" collapsed="false">
      <c r="A12" s="24"/>
      <c r="B12" s="32" t="s">
        <v>91</v>
      </c>
      <c r="C12" s="33" t="n">
        <f aca="false">SUM(C6:C11)</f>
        <v>310</v>
      </c>
      <c r="D12" s="33" t="n">
        <f aca="false">SUM(D6:D11)</f>
        <v>602.9</v>
      </c>
      <c r="E12" s="33" t="n">
        <f aca="false">SUM(E6:E11)</f>
        <v>25.788</v>
      </c>
      <c r="F12" s="33" t="n">
        <f aca="false">SUM(F6:F11)</f>
        <v>89.41</v>
      </c>
      <c r="G12" s="33" t="n">
        <f aca="false">SUM(G6:G11)</f>
        <v>16.864</v>
      </c>
      <c r="H12" s="34" t="n">
        <f aca="false">SUM(H6:H11)</f>
        <v>12.21</v>
      </c>
      <c r="I12" s="33" t="n">
        <f aca="false">SUM(I6:I11)</f>
        <v>130.6</v>
      </c>
      <c r="K12" s="35" t="n">
        <f aca="false">IF(AND(('Pro إعدادات'!$C$33="نعم"),IF($T$4=1,'Pro إعدادات'!$G$39,'Pro إعدادات'!$D$39)&gt;0),'Pro ملف الرياضي'!$H$23*IF($T$4=1,'Pro إعدادات'!$G$33,'Pro إعدادات'!$D$33)/IF($T$4=1,'Pro إعدادات'!$G$39,'Pro إعدادات'!$D$39),0)</f>
        <v>28.8</v>
      </c>
      <c r="L12" s="35" t="n">
        <f aca="false">IF(AND(('Pro إعدادات'!$C$33="نعم"),IF($T$4=1,'Pro إعدادات'!$H$39,'Pro إعدادات'!$E$39)&gt;0),'Pro ملف الرياضي'!$I$23*IF($T$4=1,'Pro إعدادات'!$H$33,'Pro إعدادات'!$E$33)/IF($T$4=1,'Pro إعدادات'!$H$39,'Pro إعدادات'!$E$39),0)</f>
        <v>96</v>
      </c>
      <c r="M12" s="35" t="n">
        <f aca="false">IF(AND(('Pro إعدادات'!$C$33="نعم"),IF($T$4=1,'Pro إعدادات'!$I$39,'Pro إعدادات'!$F$39)&gt;0),'Pro ملف الرياضي'!$J$23*IF($T$4=1,'Pro إعدادات'!$I$33,'Pro إعدادات'!$F$33)/IF($T$4=1,'Pro إعدادات'!$I$39,'Pro إعدادات'!$F$39),0)</f>
        <v>18</v>
      </c>
      <c r="N12" s="35" t="n">
        <f aca="false">4*K12+4*L12+9*M12</f>
        <v>661.2</v>
      </c>
      <c r="O12" s="21" t="n">
        <f aca="false">E12-K12</f>
        <v>-3.012</v>
      </c>
      <c r="P12" s="21" t="n">
        <f aca="false">F12-L12</f>
        <v>-6.59</v>
      </c>
      <c r="Q12" s="21" t="n">
        <f aca="false">G12-M12</f>
        <v>-1.136</v>
      </c>
    </row>
    <row r="13" customFormat="false" ht="15" hidden="false" customHeight="false" outlineLevel="0" collapsed="false">
      <c r="A13" s="14" t="str">
        <f aca="false">'Pro إعدادات'!A34&amp;" ("&amp;'Pro إعدادات'!B34&amp;")"</f>
        <v>سناك 1 / قبل التدريب (10:30)</v>
      </c>
      <c r="B13" s="5" t="s">
        <v>92</v>
      </c>
      <c r="C13" s="18" t="n">
        <v>100</v>
      </c>
      <c r="D13" s="19" t="n">
        <f aca="false">IF(OR($S13="",N($C13)=0),"",$C13/100*N(INDEX('Pro قاعدة الأغذية'!$F$5:$F$604,$S13)))</f>
        <v>275</v>
      </c>
      <c r="E13" s="22" t="n">
        <f aca="false">IF(OR($S13="",N($C13)=0),"",$C13/100*N(INDEX('Pro قاعدة الأغذية'!$G$5:$G$604,$S13)))</f>
        <v>9.1</v>
      </c>
      <c r="F13" s="22" t="n">
        <f aca="false">IF(OR($S13="",N($C13)=0),"",$C13/100*N(INDEX('Pro قاعدة الأغذية'!$H$5:$H$604,$S13)))</f>
        <v>55.7</v>
      </c>
      <c r="G13" s="22" t="n">
        <f aca="false">IF(OR($S13="",N($C13)=0),"",$C13/100*N(INDEX('Pro قاعدة الأغذية'!$I$5:$I$604,$S13)))</f>
        <v>1.2</v>
      </c>
      <c r="H13" s="22" t="n">
        <f aca="false">IF(OR($S13="",N($C13)=0),"",$C13/100*N(INDEX('Pro قاعدة الأغذية'!$J$5:$J$604,$S13)))</f>
        <v>2.2</v>
      </c>
      <c r="I13" s="19" t="n">
        <f aca="false">IF(OR($S13="",N($C13)=0),"",$C13/100*N(INDEX('Pro قاعدة الأغذية'!$L$5:$L$604,$S13)))</f>
        <v>536</v>
      </c>
      <c r="J13" s="30" t="str">
        <f aca="false">IF($S13="","",INDEX('Pro قاعدة الأغذية'!$E$5:$E$604,$S13))</f>
        <v>غير محدد</v>
      </c>
      <c r="S13" s="31" t="n">
        <f aca="false">IF(B13="","",IFERROR(MATCH(B13,'Pro قاعدة الأغذية'!$C$5:$C$604,0),""))</f>
        <v>16</v>
      </c>
    </row>
    <row r="14" customFormat="false" ht="15" hidden="false" customHeight="false" outlineLevel="0" collapsed="false">
      <c r="A14" s="24"/>
      <c r="B14" s="5" t="s">
        <v>93</v>
      </c>
      <c r="C14" s="18" t="n">
        <v>24</v>
      </c>
      <c r="D14" s="19" t="n">
        <f aca="false">IF(OR($S14="",N($C14)=0),"",$C14/100*N(INDEX('Pro قاعدة الأغذية'!$F$5:$F$604,$S14)))</f>
        <v>66.48</v>
      </c>
      <c r="E14" s="22" t="n">
        <f aca="false">IF(OR($S14="",N($C14)=0),"",$C14/100*N(INDEX('Pro قاعدة الأغذية'!$G$5:$G$604,$S14)))</f>
        <v>0.4344</v>
      </c>
      <c r="F14" s="22" t="n">
        <f aca="false">IF(OR($S14="",N($C14)=0),"",$C14/100*N(INDEX('Pro قاعدة الأغذية'!$H$5:$H$604,$S14)))</f>
        <v>18</v>
      </c>
      <c r="G14" s="22" t="n">
        <f aca="false">IF(OR($S14="",N($C14)=0),"",$C14/100*N(INDEX('Pro قاعدة الأغذية'!$I$5:$I$604,$S14)))</f>
        <v>0.036</v>
      </c>
      <c r="H14" s="22" t="n">
        <f aca="false">IF(OR($S14="",N($C14)=0),"",$C14/100*N(INDEX('Pro قاعدة الأغذية'!$J$5:$J$604,$S14)))</f>
        <v>1.608</v>
      </c>
      <c r="I14" s="19" t="n">
        <f aca="false">IF(OR($S14="",N($C14)=0),"",$C14/100*N(INDEX('Pro قاعدة الأغذية'!$L$5:$L$604,$S14)))</f>
        <v>0.24</v>
      </c>
      <c r="J14" s="30" t="str">
        <f aca="false">IF($S14="","",INDEX('Pro قاعدة الأغذية'!$E$5:$E$604,$S14))</f>
        <v>غير محدد</v>
      </c>
      <c r="S14" s="31" t="n">
        <f aca="false">IF(B14="","",IFERROR(MATCH(B14,'Pro قاعدة الأغذية'!$C$5:$C$604,0),""))</f>
        <v>81</v>
      </c>
    </row>
    <row r="15" customFormat="false" ht="15" hidden="false" customHeight="false" outlineLevel="0" collapsed="false">
      <c r="A15" s="24"/>
      <c r="B15" s="5" t="s">
        <v>94</v>
      </c>
      <c r="C15" s="18" t="n">
        <v>100</v>
      </c>
      <c r="D15" s="19" t="n">
        <f aca="false">IF(OR($S15="",N($C15)=0),"",$C15/100*N(INDEX('Pro قاعدة الأغذية'!$F$5:$F$604,$S15)))</f>
        <v>59</v>
      </c>
      <c r="E15" s="22" t="n">
        <f aca="false">IF(OR($S15="",N($C15)=0),"",$C15/100*N(INDEX('Pro قاعدة الأغذية'!$G$5:$G$604,$S15)))</f>
        <v>10.2</v>
      </c>
      <c r="F15" s="22" t="n">
        <f aca="false">IF(OR($S15="",N($C15)=0),"",$C15/100*N(INDEX('Pro قاعدة الأغذية'!$H$5:$H$604,$S15)))</f>
        <v>3.6</v>
      </c>
      <c r="G15" s="22" t="n">
        <f aca="false">IF(OR($S15="",N($C15)=0),"",$C15/100*N(INDEX('Pro قاعدة الأغذية'!$I$5:$I$604,$S15)))</f>
        <v>0.39</v>
      </c>
      <c r="H15" s="22" t="n">
        <f aca="false">IF(OR($S15="",N($C15)=0),"",$C15/100*N(INDEX('Pro قاعدة الأغذية'!$J$5:$J$604,$S15)))</f>
        <v>0</v>
      </c>
      <c r="I15" s="19" t="n">
        <f aca="false">IF(OR($S15="",N($C15)=0),"",$C15/100*N(INDEX('Pro قاعدة الأغذية'!$L$5:$L$604,$S15)))</f>
        <v>36</v>
      </c>
      <c r="J15" s="30" t="str">
        <f aca="false">IF($S15="","",INDEX('Pro قاعدة الأغذية'!$E$5:$E$604,$S15))</f>
        <v>غير محدد</v>
      </c>
      <c r="S15" s="31" t="n">
        <f aca="false">IF(B15="","",IFERROR(MATCH(B15,'Pro قاعدة الأغذية'!$C$5:$C$604,0),""))</f>
        <v>59</v>
      </c>
    </row>
    <row r="16" customFormat="false" ht="15" hidden="false" customHeight="false" outlineLevel="0" collapsed="false">
      <c r="A16" s="24"/>
      <c r="B16" s="5"/>
      <c r="C16" s="18"/>
      <c r="D16" s="19" t="str">
        <f aca="false">IF(OR($S16="",N($C16)=0),"",$C16/100*N(INDEX('Pro قاعدة الأغذية'!$F$5:$F$604,$S16)))</f>
        <v/>
      </c>
      <c r="E16" s="22" t="str">
        <f aca="false">IF(OR($S16="",N($C16)=0),"",$C16/100*N(INDEX('Pro قاعدة الأغذية'!$G$5:$G$604,$S16)))</f>
        <v/>
      </c>
      <c r="F16" s="22" t="str">
        <f aca="false">IF(OR($S16="",N($C16)=0),"",$C16/100*N(INDEX('Pro قاعدة الأغذية'!$H$5:$H$604,$S16)))</f>
        <v/>
      </c>
      <c r="G16" s="22" t="str">
        <f aca="false">IF(OR($S16="",N($C16)=0),"",$C16/100*N(INDEX('Pro قاعدة الأغذية'!$I$5:$I$604,$S16)))</f>
        <v/>
      </c>
      <c r="H16" s="22" t="str">
        <f aca="false">IF(OR($S16="",N($C16)=0),"",$C16/100*N(INDEX('Pro قاعدة الأغذية'!$J$5:$J$604,$S16)))</f>
        <v/>
      </c>
      <c r="I16" s="19" t="str">
        <f aca="false">IF(OR($S16="",N($C16)=0),"",$C16/100*N(INDEX('Pro قاعدة الأغذية'!$L$5:$L$604,$S16)))</f>
        <v/>
      </c>
      <c r="J16" s="30" t="str">
        <f aca="false">IF($S16="","",INDEX('Pro قاعدة الأغذية'!$E$5:$E$604,$S16))</f>
        <v/>
      </c>
      <c r="S16" s="31" t="str">
        <f aca="false">IF(B16="","",IFERROR(MATCH(B16,'Pro قاعدة الأغذية'!$C$5:$C$604,0),""))</f>
        <v/>
      </c>
    </row>
    <row r="17" customFormat="false" ht="15" hidden="false" customHeight="false" outlineLevel="0" collapsed="false">
      <c r="A17" s="24"/>
      <c r="B17" s="5"/>
      <c r="C17" s="18"/>
      <c r="D17" s="19" t="str">
        <f aca="false">IF(OR($S17="",N($C17)=0),"",$C17/100*N(INDEX('Pro قاعدة الأغذية'!$F$5:$F$604,$S17)))</f>
        <v/>
      </c>
      <c r="E17" s="22" t="str">
        <f aca="false">IF(OR($S17="",N($C17)=0),"",$C17/100*N(INDEX('Pro قاعدة الأغذية'!$G$5:$G$604,$S17)))</f>
        <v/>
      </c>
      <c r="F17" s="22" t="str">
        <f aca="false">IF(OR($S17="",N($C17)=0),"",$C17/100*N(INDEX('Pro قاعدة الأغذية'!$H$5:$H$604,$S17)))</f>
        <v/>
      </c>
      <c r="G17" s="22" t="str">
        <f aca="false">IF(OR($S17="",N($C17)=0),"",$C17/100*N(INDEX('Pro قاعدة الأغذية'!$I$5:$I$604,$S17)))</f>
        <v/>
      </c>
      <c r="H17" s="22" t="str">
        <f aca="false">IF(OR($S17="",N($C17)=0),"",$C17/100*N(INDEX('Pro قاعدة الأغذية'!$J$5:$J$604,$S17)))</f>
        <v/>
      </c>
      <c r="I17" s="19" t="str">
        <f aca="false">IF(OR($S17="",N($C17)=0),"",$C17/100*N(INDEX('Pro قاعدة الأغذية'!$L$5:$L$604,$S17)))</f>
        <v/>
      </c>
      <c r="J17" s="30" t="str">
        <f aca="false">IF($S17="","",INDEX('Pro قاعدة الأغذية'!$E$5:$E$604,$S17))</f>
        <v/>
      </c>
      <c r="S17" s="31" t="str">
        <f aca="false">IF(B17="","",IFERROR(MATCH(B17,'Pro قاعدة الأغذية'!$C$5:$C$604,0),""))</f>
        <v/>
      </c>
    </row>
    <row r="18" customFormat="false" ht="15" hidden="false" customHeight="false" outlineLevel="0" collapsed="false">
      <c r="A18" s="24"/>
      <c r="B18" s="5"/>
      <c r="C18" s="18"/>
      <c r="D18" s="19" t="str">
        <f aca="false">IF(OR($S18="",N($C18)=0),"",$C18/100*N(INDEX('Pro قاعدة الأغذية'!$F$5:$F$604,$S18)))</f>
        <v/>
      </c>
      <c r="E18" s="22" t="str">
        <f aca="false">IF(OR($S18="",N($C18)=0),"",$C18/100*N(INDEX('Pro قاعدة الأغذية'!$G$5:$G$604,$S18)))</f>
        <v/>
      </c>
      <c r="F18" s="22" t="str">
        <f aca="false">IF(OR($S18="",N($C18)=0),"",$C18/100*N(INDEX('Pro قاعدة الأغذية'!$H$5:$H$604,$S18)))</f>
        <v/>
      </c>
      <c r="G18" s="22" t="str">
        <f aca="false">IF(OR($S18="",N($C18)=0),"",$C18/100*N(INDEX('Pro قاعدة الأغذية'!$I$5:$I$604,$S18)))</f>
        <v/>
      </c>
      <c r="H18" s="22" t="str">
        <f aca="false">IF(OR($S18="",N($C18)=0),"",$C18/100*N(INDEX('Pro قاعدة الأغذية'!$J$5:$J$604,$S18)))</f>
        <v/>
      </c>
      <c r="I18" s="19" t="str">
        <f aca="false">IF(OR($S18="",N($C18)=0),"",$C18/100*N(INDEX('Pro قاعدة الأغذية'!$L$5:$L$604,$S18)))</f>
        <v/>
      </c>
      <c r="J18" s="30" t="str">
        <f aca="false">IF($S18="","",INDEX('Pro قاعدة الأغذية'!$E$5:$E$604,$S18))</f>
        <v/>
      </c>
      <c r="S18" s="31" t="str">
        <f aca="false">IF(B18="","",IFERROR(MATCH(B18,'Pro قاعدة الأغذية'!$C$5:$C$604,0),""))</f>
        <v/>
      </c>
    </row>
    <row r="19" customFormat="false" ht="15" hidden="false" customHeight="false" outlineLevel="0" collapsed="false">
      <c r="A19" s="24"/>
      <c r="B19" s="32" t="s">
        <v>91</v>
      </c>
      <c r="C19" s="33" t="n">
        <f aca="false">SUM(C13:C18)</f>
        <v>224</v>
      </c>
      <c r="D19" s="33" t="n">
        <f aca="false">SUM(D13:D18)</f>
        <v>400.48</v>
      </c>
      <c r="E19" s="33" t="n">
        <f aca="false">SUM(E13:E18)</f>
        <v>19.7344</v>
      </c>
      <c r="F19" s="33" t="n">
        <f aca="false">SUM(F13:F18)</f>
        <v>77.3</v>
      </c>
      <c r="G19" s="33" t="n">
        <f aca="false">SUM(G13:G18)</f>
        <v>1.626</v>
      </c>
      <c r="H19" s="34" t="n">
        <f aca="false">SUM(H13:H18)</f>
        <v>3.808</v>
      </c>
      <c r="I19" s="33" t="n">
        <f aca="false">SUM(I13:I18)</f>
        <v>572.24</v>
      </c>
      <c r="K19" s="35" t="n">
        <f aca="false">IF(AND(('Pro إعدادات'!$C$34="نعم"),IF($T$4=1,'Pro إعدادات'!$G$39,'Pro إعدادات'!$D$39)&gt;0),'Pro ملف الرياضي'!$H$23*IF($T$4=1,'Pro إعدادات'!$G$34,'Pro إعدادات'!$D$34)/IF($T$4=1,'Pro إعدادات'!$G$39,'Pro إعدادات'!$D$39),0)</f>
        <v>14.4</v>
      </c>
      <c r="L19" s="35" t="n">
        <f aca="false">IF(AND(('Pro إعدادات'!$C$34="نعم"),IF($T$4=1,'Pro إعدادات'!$H$39,'Pro إعدادات'!$E$39)&gt;0),'Pro ملف الرياضي'!$I$23*IF($T$4=1,'Pro إعدادات'!$H$34,'Pro إعدادات'!$E$34)/IF($T$4=1,'Pro إعدادات'!$H$39,'Pro إعدادات'!$E$39),0)</f>
        <v>72</v>
      </c>
      <c r="M19" s="35" t="n">
        <f aca="false">IF(AND(('Pro إعدادات'!$C$34="نعم"),IF($T$4=1,'Pro إعدادات'!$I$39,'Pro إعدادات'!$F$39)&gt;0),'Pro ملف الرياضي'!$J$23*IF($T$4=1,'Pro إعدادات'!$I$34,'Pro إعدادات'!$F$34)/IF($T$4=1,'Pro إعدادات'!$I$39,'Pro إعدادات'!$F$39),0)</f>
        <v>3.6</v>
      </c>
      <c r="N19" s="35" t="n">
        <f aca="false">4*K19+4*L19+9*M19</f>
        <v>378</v>
      </c>
      <c r="O19" s="21" t="n">
        <f aca="false">E19-K19</f>
        <v>5.3344</v>
      </c>
      <c r="P19" s="21" t="n">
        <f aca="false">F19-L19</f>
        <v>5.3</v>
      </c>
      <c r="Q19" s="21" t="n">
        <f aca="false">G19-M19</f>
        <v>-1.974</v>
      </c>
    </row>
    <row r="20" customFormat="false" ht="15" hidden="false" customHeight="false" outlineLevel="0" collapsed="false">
      <c r="A20" s="14" t="str">
        <f aca="false">'Pro إعدادات'!A35&amp;" ("&amp;'Pro إعدادات'!B35&amp;")"</f>
        <v>الغداء (13:30)</v>
      </c>
      <c r="B20" s="5" t="s">
        <v>95</v>
      </c>
      <c r="C20" s="18" t="n">
        <v>400</v>
      </c>
      <c r="D20" s="19" t="n">
        <f aca="false">IF(OR($S20="",N($C20)=0),"",$C20/100*N(INDEX('Pro قاعدة الأغذية'!$F$5:$F$604,$S20)))</f>
        <v>520</v>
      </c>
      <c r="E20" s="22" t="n">
        <f aca="false">IF(OR($S20="",N($C20)=0),"",$C20/100*N(INDEX('Pro قاعدة الأغذية'!$G$5:$G$604,$S20)))</f>
        <v>10.76</v>
      </c>
      <c r="F20" s="22" t="n">
        <f aca="false">IF(OR($S20="",N($C20)=0),"",$C20/100*N(INDEX('Pro قاعدة الأغذية'!$H$5:$H$604,$S20)))</f>
        <v>112.8</v>
      </c>
      <c r="G20" s="22" t="n">
        <f aca="false">IF(OR($S20="",N($C20)=0),"",$C20/100*N(INDEX('Pro قاعدة الأغذية'!$I$5:$I$604,$S20)))</f>
        <v>1.12</v>
      </c>
      <c r="H20" s="22" t="n">
        <f aca="false">IF(OR($S20="",N($C20)=0),"",$C20/100*N(INDEX('Pro قاعدة الأغذية'!$J$5:$J$604,$S20)))</f>
        <v>1.6</v>
      </c>
      <c r="I20" s="19" t="n">
        <f aca="false">IF(OR($S20="",N($C20)=0),"",$C20/100*N(INDEX('Pro قاعدة الأغذية'!$L$5:$L$604,$S20)))</f>
        <v>4</v>
      </c>
      <c r="J20" s="30" t="str">
        <f aca="false">IF($S20="","",INDEX('Pro قاعدة الأغذية'!$E$5:$E$604,$S20))</f>
        <v>مطبوخ</v>
      </c>
      <c r="S20" s="31" t="n">
        <f aca="false">IF(B20="","",IFERROR(MATCH(B20,'Pro قاعدة الأغذية'!$C$5:$C$604,0),""))</f>
        <v>1</v>
      </c>
    </row>
    <row r="21" customFormat="false" ht="15" hidden="false" customHeight="false" outlineLevel="0" collapsed="false">
      <c r="A21" s="24"/>
      <c r="B21" s="5" t="s">
        <v>96</v>
      </c>
      <c r="C21" s="18" t="n">
        <v>100</v>
      </c>
      <c r="D21" s="19" t="n">
        <f aca="false">IF(OR($S21="",N($C21)=0),"",$C21/100*N(INDEX('Pro قاعدة الأغذية'!$F$5:$F$604,$S21)))</f>
        <v>165</v>
      </c>
      <c r="E21" s="22" t="n">
        <f aca="false">IF(OR($S21="",N($C21)=0),"",$C21/100*N(INDEX('Pro قاعدة الأغذية'!$G$5:$G$604,$S21)))</f>
        <v>31</v>
      </c>
      <c r="F21" s="22" t="n">
        <f aca="false">IF(OR($S21="",N($C21)=0),"",$C21/100*N(INDEX('Pro قاعدة الأغذية'!$H$5:$H$604,$S21)))</f>
        <v>0</v>
      </c>
      <c r="G21" s="22" t="n">
        <f aca="false">IF(OR($S21="",N($C21)=0),"",$C21/100*N(INDEX('Pro قاعدة الأغذية'!$I$5:$I$604,$S21)))</f>
        <v>3.57</v>
      </c>
      <c r="H21" s="22" t="n">
        <f aca="false">IF(OR($S21="",N($C21)=0),"",$C21/100*N(INDEX('Pro قاعدة الأغذية'!$J$5:$J$604,$S21)))</f>
        <v>0</v>
      </c>
      <c r="I21" s="19" t="n">
        <f aca="false">IF(OR($S21="",N($C21)=0),"",$C21/100*N(INDEX('Pro قاعدة الأغذية'!$L$5:$L$604,$S21)))</f>
        <v>74</v>
      </c>
      <c r="J21" s="30" t="str">
        <f aca="false">IF($S21="","",INDEX('Pro قاعدة الأغذية'!$E$5:$E$604,$S21))</f>
        <v>مطبوخ</v>
      </c>
      <c r="S21" s="31" t="n">
        <f aca="false">IF(B21="","",IFERROR(MATCH(B21,'Pro قاعدة الأغذية'!$C$5:$C$604,0),""))</f>
        <v>35</v>
      </c>
    </row>
    <row r="22" customFormat="false" ht="15" hidden="false" customHeight="false" outlineLevel="0" collapsed="false">
      <c r="A22" s="24"/>
      <c r="B22" s="5" t="s">
        <v>97</v>
      </c>
      <c r="C22" s="18" t="n">
        <v>100</v>
      </c>
      <c r="D22" s="19" t="n">
        <f aca="false">IF(OR($S22="",N($C22)=0),"",$C22/100*N(INDEX('Pro قاعدة الأغذية'!$F$5:$F$604,$S22)))</f>
        <v>35</v>
      </c>
      <c r="E22" s="22" t="n">
        <f aca="false">IF(OR($S22="",N($C22)=0),"",$C22/100*N(INDEX('Pro قاعدة الأغذية'!$G$5:$G$604,$S22)))</f>
        <v>2.38</v>
      </c>
      <c r="F22" s="22" t="n">
        <f aca="false">IF(OR($S22="",N($C22)=0),"",$C22/100*N(INDEX('Pro قاعدة الأغذية'!$H$5:$H$604,$S22)))</f>
        <v>7.18</v>
      </c>
      <c r="G22" s="22" t="n">
        <f aca="false">IF(OR($S22="",N($C22)=0),"",$C22/100*N(INDEX('Pro قاعدة الأغذية'!$I$5:$I$604,$S22)))</f>
        <v>0.41</v>
      </c>
      <c r="H22" s="22" t="n">
        <f aca="false">IF(OR($S22="",N($C22)=0),"",$C22/100*N(INDEX('Pro قاعدة الأغذية'!$J$5:$J$604,$S22)))</f>
        <v>3.3</v>
      </c>
      <c r="I22" s="19" t="n">
        <f aca="false">IF(OR($S22="",N($C22)=0),"",$C22/100*N(INDEX('Pro قاعدة الأغذية'!$L$5:$L$604,$S22)))</f>
        <v>41</v>
      </c>
      <c r="J22" s="30" t="str">
        <f aca="false">IF($S22="","",INDEX('Pro قاعدة الأغذية'!$E$5:$E$604,$S22))</f>
        <v>مطبوخ</v>
      </c>
      <c r="S22" s="31" t="n">
        <f aca="false">IF(B22="","",IFERROR(MATCH(B22,'Pro قاعدة الأغذية'!$C$5:$C$604,0),""))</f>
        <v>107</v>
      </c>
    </row>
    <row r="23" customFormat="false" ht="15" hidden="false" customHeight="false" outlineLevel="0" collapsed="false">
      <c r="A23" s="24"/>
      <c r="B23" s="5" t="s">
        <v>98</v>
      </c>
      <c r="C23" s="18" t="n">
        <v>15</v>
      </c>
      <c r="D23" s="19" t="n">
        <f aca="false">IF(OR($S23="",N($C23)=0),"",$C23/100*N(INDEX('Pro قاعدة الأغذية'!$F$5:$F$604,$S23)))</f>
        <v>132.6</v>
      </c>
      <c r="E23" s="22" t="n">
        <f aca="false">IF(OR($S23="",N($C23)=0),"",$C23/100*N(INDEX('Pro قاعدة الأغذية'!$G$5:$G$604,$S23)))</f>
        <v>0</v>
      </c>
      <c r="F23" s="22" t="n">
        <f aca="false">IF(OR($S23="",N($C23)=0),"",$C23/100*N(INDEX('Pro قاعدة الأغذية'!$H$5:$H$604,$S23)))</f>
        <v>0</v>
      </c>
      <c r="G23" s="22" t="n">
        <f aca="false">IF(OR($S23="",N($C23)=0),"",$C23/100*N(INDEX('Pro قاعدة الأغذية'!$I$5:$I$604,$S23)))</f>
        <v>15</v>
      </c>
      <c r="H23" s="22" t="n">
        <f aca="false">IF(OR($S23="",N($C23)=0),"",$C23/100*N(INDEX('Pro قاعدة الأغذية'!$J$5:$J$604,$S23)))</f>
        <v>0</v>
      </c>
      <c r="I23" s="19" t="n">
        <f aca="false">IF(OR($S23="",N($C23)=0),"",$C23/100*N(INDEX('Pro قاعدة الأغذية'!$L$5:$L$604,$S23)))</f>
        <v>0.3</v>
      </c>
      <c r="J23" s="30" t="str">
        <f aca="false">IF($S23="","",INDEX('Pro قاعدة الأغذية'!$E$5:$E$604,$S23))</f>
        <v>غير محدد</v>
      </c>
      <c r="S23" s="31" t="n">
        <f aca="false">IF(B23="","",IFERROR(MATCH(B23,'Pro قاعدة الأغذية'!$C$5:$C$604,0),""))</f>
        <v>63</v>
      </c>
    </row>
    <row r="24" customFormat="false" ht="15" hidden="false" customHeight="false" outlineLevel="0" collapsed="false">
      <c r="A24" s="24"/>
      <c r="B24" s="5"/>
      <c r="C24" s="18"/>
      <c r="D24" s="19" t="str">
        <f aca="false">IF(OR($S24="",N($C24)=0),"",$C24/100*N(INDEX('Pro قاعدة الأغذية'!$F$5:$F$604,$S24)))</f>
        <v/>
      </c>
      <c r="E24" s="22" t="str">
        <f aca="false">IF(OR($S24="",N($C24)=0),"",$C24/100*N(INDEX('Pro قاعدة الأغذية'!$G$5:$G$604,$S24)))</f>
        <v/>
      </c>
      <c r="F24" s="22" t="str">
        <f aca="false">IF(OR($S24="",N($C24)=0),"",$C24/100*N(INDEX('Pro قاعدة الأغذية'!$H$5:$H$604,$S24)))</f>
        <v/>
      </c>
      <c r="G24" s="22" t="str">
        <f aca="false">IF(OR($S24="",N($C24)=0),"",$C24/100*N(INDEX('Pro قاعدة الأغذية'!$I$5:$I$604,$S24)))</f>
        <v/>
      </c>
      <c r="H24" s="22" t="str">
        <f aca="false">IF(OR($S24="",N($C24)=0),"",$C24/100*N(INDEX('Pro قاعدة الأغذية'!$J$5:$J$604,$S24)))</f>
        <v/>
      </c>
      <c r="I24" s="19" t="str">
        <f aca="false">IF(OR($S24="",N($C24)=0),"",$C24/100*N(INDEX('Pro قاعدة الأغذية'!$L$5:$L$604,$S24)))</f>
        <v/>
      </c>
      <c r="J24" s="30" t="str">
        <f aca="false">IF($S24="","",INDEX('Pro قاعدة الأغذية'!$E$5:$E$604,$S24))</f>
        <v/>
      </c>
      <c r="S24" s="31" t="str">
        <f aca="false">IF(B24="","",IFERROR(MATCH(B24,'Pro قاعدة الأغذية'!$C$5:$C$604,0),""))</f>
        <v/>
      </c>
    </row>
    <row r="25" customFormat="false" ht="15" hidden="false" customHeight="false" outlineLevel="0" collapsed="false">
      <c r="A25" s="24"/>
      <c r="B25" s="5"/>
      <c r="C25" s="18"/>
      <c r="D25" s="19" t="str">
        <f aca="false">IF(OR($S25="",N($C25)=0),"",$C25/100*N(INDEX('Pro قاعدة الأغذية'!$F$5:$F$604,$S25)))</f>
        <v/>
      </c>
      <c r="E25" s="22" t="str">
        <f aca="false">IF(OR($S25="",N($C25)=0),"",$C25/100*N(INDEX('Pro قاعدة الأغذية'!$G$5:$G$604,$S25)))</f>
        <v/>
      </c>
      <c r="F25" s="22" t="str">
        <f aca="false">IF(OR($S25="",N($C25)=0),"",$C25/100*N(INDEX('Pro قاعدة الأغذية'!$H$5:$H$604,$S25)))</f>
        <v/>
      </c>
      <c r="G25" s="22" t="str">
        <f aca="false">IF(OR($S25="",N($C25)=0),"",$C25/100*N(INDEX('Pro قاعدة الأغذية'!$I$5:$I$604,$S25)))</f>
        <v/>
      </c>
      <c r="H25" s="22" t="str">
        <f aca="false">IF(OR($S25="",N($C25)=0),"",$C25/100*N(INDEX('Pro قاعدة الأغذية'!$J$5:$J$604,$S25)))</f>
        <v/>
      </c>
      <c r="I25" s="19" t="str">
        <f aca="false">IF(OR($S25="",N($C25)=0),"",$C25/100*N(INDEX('Pro قاعدة الأغذية'!$L$5:$L$604,$S25)))</f>
        <v/>
      </c>
      <c r="J25" s="30" t="str">
        <f aca="false">IF($S25="","",INDEX('Pro قاعدة الأغذية'!$E$5:$E$604,$S25))</f>
        <v/>
      </c>
      <c r="S25" s="31" t="str">
        <f aca="false">IF(B25="","",IFERROR(MATCH(B25,'Pro قاعدة الأغذية'!$C$5:$C$604,0),""))</f>
        <v/>
      </c>
    </row>
    <row r="26" customFormat="false" ht="15" hidden="false" customHeight="false" outlineLevel="0" collapsed="false">
      <c r="A26" s="24"/>
      <c r="B26" s="32" t="s">
        <v>91</v>
      </c>
      <c r="C26" s="33" t="n">
        <f aca="false">SUM(C20:C25)</f>
        <v>615</v>
      </c>
      <c r="D26" s="33" t="n">
        <f aca="false">SUM(D20:D25)</f>
        <v>852.6</v>
      </c>
      <c r="E26" s="33" t="n">
        <f aca="false">SUM(E20:E25)</f>
        <v>44.14</v>
      </c>
      <c r="F26" s="33" t="n">
        <f aca="false">SUM(F20:F25)</f>
        <v>119.98</v>
      </c>
      <c r="G26" s="33" t="n">
        <f aca="false">SUM(G20:G25)</f>
        <v>20.1</v>
      </c>
      <c r="H26" s="34" t="n">
        <f aca="false">SUM(H20:H25)</f>
        <v>4.9</v>
      </c>
      <c r="I26" s="33" t="n">
        <f aca="false">SUM(I20:I25)</f>
        <v>119.3</v>
      </c>
      <c r="K26" s="35" t="n">
        <f aca="false">IF(AND(('Pro إعدادات'!$C$35="نعم"),IF($T$4=1,'Pro إعدادات'!$G$39,'Pro إعدادات'!$D$39)&gt;0),'Pro ملف الرياضي'!$H$23*IF($T$4=1,'Pro إعدادات'!$G$35,'Pro إعدادات'!$D$35)/IF($T$4=1,'Pro إعدادات'!$G$39,'Pro إعدادات'!$D$39),0)</f>
        <v>36</v>
      </c>
      <c r="L26" s="35" t="n">
        <f aca="false">IF(AND(('Pro إعدادات'!$C$35="نعم"),IF($T$4=1,'Pro إعدادات'!$H$39,'Pro إعدادات'!$E$39)&gt;0),'Pro ملف الرياضي'!$I$23*IF($T$4=1,'Pro إعدادات'!$H$35,'Pro إعدادات'!$E$35)/IF($T$4=1,'Pro إعدادات'!$H$39,'Pro إعدادات'!$E$39),0)</f>
        <v>120</v>
      </c>
      <c r="M26" s="35" t="n">
        <f aca="false">IF(AND(('Pro إعدادات'!$C$35="نعم"),IF($T$4=1,'Pro إعدادات'!$I$39,'Pro إعدادات'!$F$39)&gt;0),'Pro ملف الرياضي'!$J$23*IF($T$4=1,'Pro إعدادات'!$I$35,'Pro إعدادات'!$F$35)/IF($T$4=1,'Pro إعدادات'!$I$39,'Pro إعدادات'!$F$39),0)</f>
        <v>21.6</v>
      </c>
      <c r="N26" s="35" t="n">
        <f aca="false">4*K26+4*L26+9*M26</f>
        <v>818.4</v>
      </c>
      <c r="O26" s="21" t="n">
        <f aca="false">E26-K26</f>
        <v>8.14</v>
      </c>
      <c r="P26" s="21" t="n">
        <f aca="false">F26-L26</f>
        <v>-0.0200000000000102</v>
      </c>
      <c r="Q26" s="21" t="n">
        <f aca="false">G26-M26</f>
        <v>-1.5</v>
      </c>
    </row>
    <row r="27" customFormat="false" ht="15" hidden="false" customHeight="false" outlineLevel="0" collapsed="false">
      <c r="A27" s="14" t="str">
        <f aca="false">'Pro إعدادات'!A36&amp;" ("&amp;'Pro إعدادات'!B36&amp;")"</f>
        <v>سناك 2 / بعد التدريب (16:30)</v>
      </c>
      <c r="B27" s="5" t="s">
        <v>99</v>
      </c>
      <c r="C27" s="18" t="n">
        <v>35</v>
      </c>
      <c r="D27" s="19" t="n">
        <f aca="false">IF(OR($S27="",N($C27)=0),"",$C27/100*N(INDEX('Pro قاعدة الأغذية'!$F$5:$F$604,$S27)))</f>
        <v>123.2</v>
      </c>
      <c r="E27" s="22" t="n">
        <f aca="false">IF(OR($S27="",N($C27)=0),"",$C27/100*N(INDEX('Pro قاعدة الأغذية'!$G$5:$G$604,$S27)))</f>
        <v>27.335</v>
      </c>
      <c r="F27" s="22" t="n">
        <f aca="false">IF(OR($S27="",N($C27)=0),"",$C27/100*N(INDEX('Pro قاعدة الأغذية'!$H$5:$H$604,$S27)))</f>
        <v>2.1875</v>
      </c>
      <c r="G27" s="22" t="n">
        <f aca="false">IF(OR($S27="",N($C27)=0),"",$C27/100*N(INDEX('Pro قاعدة الأغذية'!$I$5:$I$604,$S27)))</f>
        <v>0.546</v>
      </c>
      <c r="H27" s="22" t="n">
        <f aca="false">IF(OR($S27="",N($C27)=0),"",$C27/100*N(INDEX('Pro قاعدة الأغذية'!$J$5:$J$604,$S27)))</f>
        <v>1.085</v>
      </c>
      <c r="I27" s="19" t="n">
        <f aca="false">IF(OR($S27="",N($C27)=0),"",$C27/100*N(INDEX('Pro قاعدة الأغذية'!$L$5:$L$604,$S27)))</f>
        <v>54.6</v>
      </c>
      <c r="J27" s="30" t="str">
        <f aca="false">IF($S27="","",INDEX('Pro قاعدة الأغذية'!$E$5:$E$604,$S27))</f>
        <v>غير محدد</v>
      </c>
      <c r="S27" s="31" t="n">
        <f aca="false">IF(B27="","",IFERROR(MATCH(B27,'Pro قاعدة الأغذية'!$C$5:$C$604,0),""))</f>
        <v>52</v>
      </c>
    </row>
    <row r="28" customFormat="false" ht="15" hidden="false" customHeight="false" outlineLevel="0" collapsed="false">
      <c r="A28" s="24"/>
      <c r="B28" s="5" t="s">
        <v>90</v>
      </c>
      <c r="C28" s="18" t="n">
        <v>120</v>
      </c>
      <c r="D28" s="19" t="n">
        <f aca="false">IF(OR($S28="",N($C28)=0),"",$C28/100*N(INDEX('Pro قاعدة الأغذية'!$F$5:$F$604,$S28)))</f>
        <v>106.8</v>
      </c>
      <c r="E28" s="22" t="n">
        <f aca="false">IF(OR($S28="",N($C28)=0),"",$C28/100*N(INDEX('Pro قاعدة الأغذية'!$G$5:$G$604,$S28)))</f>
        <v>1.308</v>
      </c>
      <c r="F28" s="22" t="n">
        <f aca="false">IF(OR($S28="",N($C28)=0),"",$C28/100*N(INDEX('Pro قاعدة الأغذية'!$H$5:$H$604,$S28)))</f>
        <v>27.36</v>
      </c>
      <c r="G28" s="22" t="n">
        <f aca="false">IF(OR($S28="",N($C28)=0),"",$C28/100*N(INDEX('Pro قاعدة الأغذية'!$I$5:$I$604,$S28)))</f>
        <v>0.396</v>
      </c>
      <c r="H28" s="22" t="n">
        <f aca="false">IF(OR($S28="",N($C28)=0),"",$C28/100*N(INDEX('Pro قاعدة الأغذية'!$J$5:$J$604,$S28)))</f>
        <v>3.12</v>
      </c>
      <c r="I28" s="19" t="n">
        <f aca="false">IF(OR($S28="",N($C28)=0),"",$C28/100*N(INDEX('Pro قاعدة الأغذية'!$L$5:$L$604,$S28)))</f>
        <v>1.2</v>
      </c>
      <c r="J28" s="30" t="str">
        <f aca="false">IF($S28="","",INDEX('Pro قاعدة الأغذية'!$E$5:$E$604,$S28))</f>
        <v>نيء</v>
      </c>
      <c r="S28" s="31" t="n">
        <f aca="false">IF(B28="","",IFERROR(MATCH(B28,'Pro قاعدة الأغذية'!$C$5:$C$604,0),""))</f>
        <v>78</v>
      </c>
    </row>
    <row r="29" customFormat="false" ht="15" hidden="false" customHeight="false" outlineLevel="0" collapsed="false">
      <c r="A29" s="24"/>
      <c r="B29" s="5" t="s">
        <v>93</v>
      </c>
      <c r="C29" s="18" t="n">
        <v>90</v>
      </c>
      <c r="D29" s="19" t="n">
        <f aca="false">IF(OR($S29="",N($C29)=0),"",$C29/100*N(INDEX('Pro قاعدة الأغذية'!$F$5:$F$604,$S29)))</f>
        <v>249.3</v>
      </c>
      <c r="E29" s="22" t="n">
        <f aca="false">IF(OR($S29="",N($C29)=0),"",$C29/100*N(INDEX('Pro قاعدة الأغذية'!$G$5:$G$604,$S29)))</f>
        <v>1.629</v>
      </c>
      <c r="F29" s="22" t="n">
        <f aca="false">IF(OR($S29="",N($C29)=0),"",$C29/100*N(INDEX('Pro قاعدة الأغذية'!$H$5:$H$604,$S29)))</f>
        <v>67.5</v>
      </c>
      <c r="G29" s="22" t="n">
        <f aca="false">IF(OR($S29="",N($C29)=0),"",$C29/100*N(INDEX('Pro قاعدة الأغذية'!$I$5:$I$604,$S29)))</f>
        <v>0.135</v>
      </c>
      <c r="H29" s="22" t="n">
        <f aca="false">IF(OR($S29="",N($C29)=0),"",$C29/100*N(INDEX('Pro قاعدة الأغذية'!$J$5:$J$604,$S29)))</f>
        <v>6.03</v>
      </c>
      <c r="I29" s="19" t="n">
        <f aca="false">IF(OR($S29="",N($C29)=0),"",$C29/100*N(INDEX('Pro قاعدة الأغذية'!$L$5:$L$604,$S29)))</f>
        <v>0.9</v>
      </c>
      <c r="J29" s="30" t="str">
        <f aca="false">IF($S29="","",INDEX('Pro قاعدة الأغذية'!$E$5:$E$604,$S29))</f>
        <v>غير محدد</v>
      </c>
      <c r="S29" s="31" t="n">
        <f aca="false">IF(B29="","",IFERROR(MATCH(B29,'Pro قاعدة الأغذية'!$C$5:$C$604,0),""))</f>
        <v>81</v>
      </c>
    </row>
    <row r="30" customFormat="false" ht="15" hidden="false" customHeight="false" outlineLevel="0" collapsed="false">
      <c r="A30" s="24"/>
      <c r="B30" s="5"/>
      <c r="C30" s="18"/>
      <c r="D30" s="19" t="str">
        <f aca="false">IF(OR($S30="",N($C30)=0),"",$C30/100*N(INDEX('Pro قاعدة الأغذية'!$F$5:$F$604,$S30)))</f>
        <v/>
      </c>
      <c r="E30" s="22" t="str">
        <f aca="false">IF(OR($S30="",N($C30)=0),"",$C30/100*N(INDEX('Pro قاعدة الأغذية'!$G$5:$G$604,$S30)))</f>
        <v/>
      </c>
      <c r="F30" s="22" t="str">
        <f aca="false">IF(OR($S30="",N($C30)=0),"",$C30/100*N(INDEX('Pro قاعدة الأغذية'!$H$5:$H$604,$S30)))</f>
        <v/>
      </c>
      <c r="G30" s="22" t="str">
        <f aca="false">IF(OR($S30="",N($C30)=0),"",$C30/100*N(INDEX('Pro قاعدة الأغذية'!$I$5:$I$604,$S30)))</f>
        <v/>
      </c>
      <c r="H30" s="22" t="str">
        <f aca="false">IF(OR($S30="",N($C30)=0),"",$C30/100*N(INDEX('Pro قاعدة الأغذية'!$J$5:$J$604,$S30)))</f>
        <v/>
      </c>
      <c r="I30" s="19" t="str">
        <f aca="false">IF(OR($S30="",N($C30)=0),"",$C30/100*N(INDEX('Pro قاعدة الأغذية'!$L$5:$L$604,$S30)))</f>
        <v/>
      </c>
      <c r="J30" s="30" t="str">
        <f aca="false">IF($S30="","",INDEX('Pro قاعدة الأغذية'!$E$5:$E$604,$S30))</f>
        <v/>
      </c>
      <c r="S30" s="31" t="str">
        <f aca="false">IF(B30="","",IFERROR(MATCH(B30,'Pro قاعدة الأغذية'!$C$5:$C$604,0),""))</f>
        <v/>
      </c>
    </row>
    <row r="31" customFormat="false" ht="15" hidden="false" customHeight="false" outlineLevel="0" collapsed="false">
      <c r="A31" s="24"/>
      <c r="B31" s="5"/>
      <c r="C31" s="18"/>
      <c r="D31" s="19" t="str">
        <f aca="false">IF(OR($S31="",N($C31)=0),"",$C31/100*N(INDEX('Pro قاعدة الأغذية'!$F$5:$F$604,$S31)))</f>
        <v/>
      </c>
      <c r="E31" s="22" t="str">
        <f aca="false">IF(OR($S31="",N($C31)=0),"",$C31/100*N(INDEX('Pro قاعدة الأغذية'!$G$5:$G$604,$S31)))</f>
        <v/>
      </c>
      <c r="F31" s="22" t="str">
        <f aca="false">IF(OR($S31="",N($C31)=0),"",$C31/100*N(INDEX('Pro قاعدة الأغذية'!$H$5:$H$604,$S31)))</f>
        <v/>
      </c>
      <c r="G31" s="22" t="str">
        <f aca="false">IF(OR($S31="",N($C31)=0),"",$C31/100*N(INDEX('Pro قاعدة الأغذية'!$I$5:$I$604,$S31)))</f>
        <v/>
      </c>
      <c r="H31" s="22" t="str">
        <f aca="false">IF(OR($S31="",N($C31)=0),"",$C31/100*N(INDEX('Pro قاعدة الأغذية'!$J$5:$J$604,$S31)))</f>
        <v/>
      </c>
      <c r="I31" s="19" t="str">
        <f aca="false">IF(OR($S31="",N($C31)=0),"",$C31/100*N(INDEX('Pro قاعدة الأغذية'!$L$5:$L$604,$S31)))</f>
        <v/>
      </c>
      <c r="J31" s="30" t="str">
        <f aca="false">IF($S31="","",INDEX('Pro قاعدة الأغذية'!$E$5:$E$604,$S31))</f>
        <v/>
      </c>
      <c r="S31" s="31" t="str">
        <f aca="false">IF(B31="","",IFERROR(MATCH(B31,'Pro قاعدة الأغذية'!$C$5:$C$604,0),""))</f>
        <v/>
      </c>
    </row>
    <row r="32" customFormat="false" ht="15" hidden="false" customHeight="false" outlineLevel="0" collapsed="false">
      <c r="A32" s="24"/>
      <c r="B32" s="5"/>
      <c r="C32" s="18"/>
      <c r="D32" s="19" t="str">
        <f aca="false">IF(OR($S32="",N($C32)=0),"",$C32/100*N(INDEX('Pro قاعدة الأغذية'!$F$5:$F$604,$S32)))</f>
        <v/>
      </c>
      <c r="E32" s="22" t="str">
        <f aca="false">IF(OR($S32="",N($C32)=0),"",$C32/100*N(INDEX('Pro قاعدة الأغذية'!$G$5:$G$604,$S32)))</f>
        <v/>
      </c>
      <c r="F32" s="22" t="str">
        <f aca="false">IF(OR($S32="",N($C32)=0),"",$C32/100*N(INDEX('Pro قاعدة الأغذية'!$H$5:$H$604,$S32)))</f>
        <v/>
      </c>
      <c r="G32" s="22" t="str">
        <f aca="false">IF(OR($S32="",N($C32)=0),"",$C32/100*N(INDEX('Pro قاعدة الأغذية'!$I$5:$I$604,$S32)))</f>
        <v/>
      </c>
      <c r="H32" s="22" t="str">
        <f aca="false">IF(OR($S32="",N($C32)=0),"",$C32/100*N(INDEX('Pro قاعدة الأغذية'!$J$5:$J$604,$S32)))</f>
        <v/>
      </c>
      <c r="I32" s="19" t="str">
        <f aca="false">IF(OR($S32="",N($C32)=0),"",$C32/100*N(INDEX('Pro قاعدة الأغذية'!$L$5:$L$604,$S32)))</f>
        <v/>
      </c>
      <c r="J32" s="30" t="str">
        <f aca="false">IF($S32="","",INDEX('Pro قاعدة الأغذية'!$E$5:$E$604,$S32))</f>
        <v/>
      </c>
      <c r="S32" s="31" t="str">
        <f aca="false">IF(B32="","",IFERROR(MATCH(B32,'Pro قاعدة الأغذية'!$C$5:$C$604,0),""))</f>
        <v/>
      </c>
    </row>
    <row r="33" customFormat="false" ht="15" hidden="false" customHeight="false" outlineLevel="0" collapsed="false">
      <c r="A33" s="24"/>
      <c r="B33" s="32" t="s">
        <v>91</v>
      </c>
      <c r="C33" s="33" t="n">
        <f aca="false">SUM(C27:C32)</f>
        <v>245</v>
      </c>
      <c r="D33" s="33" t="n">
        <f aca="false">SUM(D27:D32)</f>
        <v>479.3</v>
      </c>
      <c r="E33" s="33" t="n">
        <f aca="false">SUM(E27:E32)</f>
        <v>30.272</v>
      </c>
      <c r="F33" s="33" t="n">
        <f aca="false">SUM(F27:F32)</f>
        <v>97.0475</v>
      </c>
      <c r="G33" s="33" t="n">
        <f aca="false">SUM(G27:G32)</f>
        <v>1.077</v>
      </c>
      <c r="H33" s="34" t="n">
        <f aca="false">SUM(H27:H32)</f>
        <v>10.235</v>
      </c>
      <c r="I33" s="33" t="n">
        <f aca="false">SUM(I27:I32)</f>
        <v>56.7</v>
      </c>
      <c r="K33" s="35" t="n">
        <f aca="false">IF(AND(('Pro إعدادات'!$C$36="نعم"),IF($T$4=1,'Pro إعدادات'!$G$39,'Pro إعدادات'!$D$39)&gt;0),'Pro ملف الرياضي'!$H$23*IF($T$4=1,'Pro إعدادات'!$G$36,'Pro إعدادات'!$D$36)/IF($T$4=1,'Pro إعدادات'!$G$39,'Pro إعدادات'!$D$39),0)</f>
        <v>28.8</v>
      </c>
      <c r="L33" s="35" t="n">
        <f aca="false">IF(AND(('Pro إعدادات'!$C$36="نعم"),IF($T$4=1,'Pro إعدادات'!$H$39,'Pro إعدادات'!$E$39)&gt;0),'Pro ملف الرياضي'!$I$23*IF($T$4=1,'Pro إعدادات'!$H$36,'Pro إعدادات'!$E$36)/IF($T$4=1,'Pro إعدادات'!$H$39,'Pro إعدادات'!$E$39),0)</f>
        <v>120</v>
      </c>
      <c r="M33" s="35" t="n">
        <f aca="false">IF(AND(('Pro إعدادات'!$C$36="نعم"),IF($T$4=1,'Pro إعدادات'!$I$39,'Pro إعدادات'!$F$39)&gt;0),'Pro ملف الرياضي'!$J$23*IF($T$4=1,'Pro إعدادات'!$I$36,'Pro إعدادات'!$F$36)/IF($T$4=1,'Pro إعدادات'!$I$39,'Pro إعدادات'!$F$39),0)</f>
        <v>7.2</v>
      </c>
      <c r="N33" s="35" t="n">
        <f aca="false">4*K33+4*L33+9*M33</f>
        <v>660</v>
      </c>
      <c r="O33" s="21" t="n">
        <f aca="false">E33-K33</f>
        <v>1.472</v>
      </c>
      <c r="P33" s="21" t="n">
        <f aca="false">F33-L33</f>
        <v>-22.9525</v>
      </c>
      <c r="Q33" s="21" t="n">
        <f aca="false">G33-M33</f>
        <v>-6.123</v>
      </c>
    </row>
    <row r="34" customFormat="false" ht="15" hidden="false" customHeight="false" outlineLevel="0" collapsed="false">
      <c r="A34" s="14" t="str">
        <f aca="false">'Pro إعدادات'!A37&amp;" ("&amp;'Pro إعدادات'!B37&amp;")"</f>
        <v>العشاء (20:00)</v>
      </c>
      <c r="B34" s="5" t="s">
        <v>100</v>
      </c>
      <c r="C34" s="18" t="n">
        <v>300</v>
      </c>
      <c r="D34" s="19" t="n">
        <f aca="false">IF(OR($S34="",N($C34)=0),"",$C34/100*N(INDEX('Pro قاعدة الأغذية'!$F$5:$F$604,$S34)))</f>
        <v>270</v>
      </c>
      <c r="E34" s="22" t="n">
        <f aca="false">IF(OR($S34="",N($C34)=0),"",$C34/100*N(INDEX('Pro قاعدة الأغذية'!$G$5:$G$604,$S34)))</f>
        <v>6.03</v>
      </c>
      <c r="F34" s="22" t="n">
        <f aca="false">IF(OR($S34="",N($C34)=0),"",$C34/100*N(INDEX('Pro قاعدة الأغذية'!$H$5:$H$604,$S34)))</f>
        <v>62.1</v>
      </c>
      <c r="G34" s="22" t="n">
        <f aca="false">IF(OR($S34="",N($C34)=0),"",$C34/100*N(INDEX('Pro قاعدة الأغذية'!$I$5:$I$604,$S34)))</f>
        <v>0.45</v>
      </c>
      <c r="H34" s="22" t="n">
        <f aca="false">IF(OR($S34="",N($C34)=0),"",$C34/100*N(INDEX('Pro قاعدة الأغذية'!$J$5:$J$604,$S34)))</f>
        <v>9.9</v>
      </c>
      <c r="I34" s="19" t="n">
        <f aca="false">IF(OR($S34="",N($C34)=0),"",$C34/100*N(INDEX('Pro قاعدة الأغذية'!$L$5:$L$604,$S34)))</f>
        <v>108</v>
      </c>
      <c r="J34" s="30" t="str">
        <f aca="false">IF($S34="","",INDEX('Pro قاعدة الأغذية'!$E$5:$E$604,$S34))</f>
        <v>مطبوخ</v>
      </c>
      <c r="S34" s="31" t="n">
        <f aca="false">IF(B34="","",IFERROR(MATCH(B34,'Pro قاعدة الأغذية'!$C$5:$C$604,0),""))</f>
        <v>21</v>
      </c>
    </row>
    <row r="35" customFormat="false" ht="15" hidden="false" customHeight="false" outlineLevel="0" collapsed="false">
      <c r="A35" s="24"/>
      <c r="B35" s="5" t="s">
        <v>101</v>
      </c>
      <c r="C35" s="18" t="n">
        <v>120</v>
      </c>
      <c r="D35" s="19" t="n">
        <f aca="false">IF(OR($S35="",N($C35)=0),"",$C35/100*N(INDEX('Pro قاعدة الأغذية'!$F$5:$F$604,$S35)))</f>
        <v>247.2</v>
      </c>
      <c r="E35" s="22" t="n">
        <f aca="false">IF(OR($S35="",N($C35)=0),"",$C35/100*N(INDEX('Pro قاعدة الأغذية'!$G$5:$G$604,$S35)))</f>
        <v>26.52</v>
      </c>
      <c r="F35" s="22" t="n">
        <f aca="false">IF(OR($S35="",N($C35)=0),"",$C35/100*N(INDEX('Pro قاعدة الأغذية'!$H$5:$H$604,$S35)))</f>
        <v>0</v>
      </c>
      <c r="G35" s="22" t="n">
        <f aca="false">IF(OR($S35="",N($C35)=0),"",$C35/100*N(INDEX('Pro قاعدة الأغذية'!$I$5:$I$604,$S35)))</f>
        <v>14.88</v>
      </c>
      <c r="H35" s="22" t="n">
        <f aca="false">IF(OR($S35="",N($C35)=0),"",$C35/100*N(INDEX('Pro قاعدة الأغذية'!$J$5:$J$604,$S35)))</f>
        <v>0</v>
      </c>
      <c r="I35" s="19" t="n">
        <f aca="false">IF(OR($S35="",N($C35)=0),"",$C35/100*N(INDEX('Pro قاعدة الأغذية'!$L$5:$L$604,$S35)))</f>
        <v>73.2</v>
      </c>
      <c r="J35" s="30" t="str">
        <f aca="false">IF($S35="","",INDEX('Pro قاعدة الأغذية'!$E$5:$E$604,$S35))</f>
        <v>مطبوخ</v>
      </c>
      <c r="S35" s="31" t="n">
        <f aca="false">IF(B35="","",IFERROR(MATCH(B35,'Pro قاعدة الأغذية'!$C$5:$C$604,0),""))</f>
        <v>47</v>
      </c>
    </row>
    <row r="36" customFormat="false" ht="15" hidden="false" customHeight="false" outlineLevel="0" collapsed="false">
      <c r="A36" s="24"/>
      <c r="B36" s="5" t="s">
        <v>102</v>
      </c>
      <c r="C36" s="18" t="n">
        <v>80</v>
      </c>
      <c r="D36" s="19" t="n">
        <f aca="false">IF(OR($S36="",N($C36)=0),"",$C36/100*N(INDEX('Pro قاعدة الأغذية'!$F$5:$F$604,$S36)))</f>
        <v>13.6</v>
      </c>
      <c r="E36" s="22" t="n">
        <f aca="false">IF(OR($S36="",N($C36)=0),"",$C36/100*N(INDEX('Pro قاعدة الأغذية'!$G$5:$G$604,$S36)))</f>
        <v>0.984</v>
      </c>
      <c r="F36" s="22" t="n">
        <f aca="false">IF(OR($S36="",N($C36)=0),"",$C36/100*N(INDEX('Pro قاعدة الأغذية'!$H$5:$H$604,$S36)))</f>
        <v>2.632</v>
      </c>
      <c r="G36" s="22" t="n">
        <f aca="false">IF(OR($S36="",N($C36)=0),"",$C36/100*N(INDEX('Pro قاعدة الأغذية'!$I$5:$I$604,$S36)))</f>
        <v>0.24</v>
      </c>
      <c r="H36" s="22" t="n">
        <f aca="false">IF(OR($S36="",N($C36)=0),"",$C36/100*N(INDEX('Pro قاعدة الأغذية'!$J$5:$J$604,$S36)))</f>
        <v>1.68</v>
      </c>
      <c r="I36" s="19" t="n">
        <f aca="false">IF(OR($S36="",N($C36)=0),"",$C36/100*N(INDEX('Pro قاعدة الأغذية'!$L$5:$L$604,$S36)))</f>
        <v>6.4</v>
      </c>
      <c r="J36" s="30" t="str">
        <f aca="false">IF($S36="","",INDEX('Pro قاعدة الأغذية'!$E$5:$E$604,$S36))</f>
        <v>نيء</v>
      </c>
      <c r="S36" s="31" t="n">
        <f aca="false">IF(B36="","",IFERROR(MATCH(B36,'Pro قاعدة الأغذية'!$C$5:$C$604,0),""))</f>
        <v>102</v>
      </c>
    </row>
    <row r="37" customFormat="false" ht="15" hidden="false" customHeight="false" outlineLevel="0" collapsed="false">
      <c r="A37" s="24"/>
      <c r="B37" s="5" t="s">
        <v>98</v>
      </c>
      <c r="C37" s="18" t="n">
        <v>10</v>
      </c>
      <c r="D37" s="19" t="n">
        <f aca="false">IF(OR($S37="",N($C37)=0),"",$C37/100*N(INDEX('Pro قاعدة الأغذية'!$F$5:$F$604,$S37)))</f>
        <v>88.4</v>
      </c>
      <c r="E37" s="22" t="n">
        <f aca="false">IF(OR($S37="",N($C37)=0),"",$C37/100*N(INDEX('Pro قاعدة الأغذية'!$G$5:$G$604,$S37)))</f>
        <v>0</v>
      </c>
      <c r="F37" s="22" t="n">
        <f aca="false">IF(OR($S37="",N($C37)=0),"",$C37/100*N(INDEX('Pro قاعدة الأغذية'!$H$5:$H$604,$S37)))</f>
        <v>0</v>
      </c>
      <c r="G37" s="22" t="n">
        <f aca="false">IF(OR($S37="",N($C37)=0),"",$C37/100*N(INDEX('Pro قاعدة الأغذية'!$I$5:$I$604,$S37)))</f>
        <v>10</v>
      </c>
      <c r="H37" s="22" t="n">
        <f aca="false">IF(OR($S37="",N($C37)=0),"",$C37/100*N(INDEX('Pro قاعدة الأغذية'!$J$5:$J$604,$S37)))</f>
        <v>0</v>
      </c>
      <c r="I37" s="19" t="n">
        <f aca="false">IF(OR($S37="",N($C37)=0),"",$C37/100*N(INDEX('Pro قاعدة الأغذية'!$L$5:$L$604,$S37)))</f>
        <v>0.2</v>
      </c>
      <c r="J37" s="30" t="str">
        <f aca="false">IF($S37="","",INDEX('Pro قاعدة الأغذية'!$E$5:$E$604,$S37))</f>
        <v>غير محدد</v>
      </c>
      <c r="S37" s="31" t="n">
        <f aca="false">IF(B37="","",IFERROR(MATCH(B37,'Pro قاعدة الأغذية'!$C$5:$C$604,0),""))</f>
        <v>63</v>
      </c>
    </row>
    <row r="38" customFormat="false" ht="15" hidden="false" customHeight="false" outlineLevel="0" collapsed="false">
      <c r="A38" s="24"/>
      <c r="B38" s="5"/>
      <c r="C38" s="18"/>
      <c r="D38" s="19" t="str">
        <f aca="false">IF(OR($S38="",N($C38)=0),"",$C38/100*N(INDEX('Pro قاعدة الأغذية'!$F$5:$F$604,$S38)))</f>
        <v/>
      </c>
      <c r="E38" s="22" t="str">
        <f aca="false">IF(OR($S38="",N($C38)=0),"",$C38/100*N(INDEX('Pro قاعدة الأغذية'!$G$5:$G$604,$S38)))</f>
        <v/>
      </c>
      <c r="F38" s="22" t="str">
        <f aca="false">IF(OR($S38="",N($C38)=0),"",$C38/100*N(INDEX('Pro قاعدة الأغذية'!$H$5:$H$604,$S38)))</f>
        <v/>
      </c>
      <c r="G38" s="22" t="str">
        <f aca="false">IF(OR($S38="",N($C38)=0),"",$C38/100*N(INDEX('Pro قاعدة الأغذية'!$I$5:$I$604,$S38)))</f>
        <v/>
      </c>
      <c r="H38" s="22" t="str">
        <f aca="false">IF(OR($S38="",N($C38)=0),"",$C38/100*N(INDEX('Pro قاعدة الأغذية'!$J$5:$J$604,$S38)))</f>
        <v/>
      </c>
      <c r="I38" s="19" t="str">
        <f aca="false">IF(OR($S38="",N($C38)=0),"",$C38/100*N(INDEX('Pro قاعدة الأغذية'!$L$5:$L$604,$S38)))</f>
        <v/>
      </c>
      <c r="J38" s="30" t="str">
        <f aca="false">IF($S38="","",INDEX('Pro قاعدة الأغذية'!$E$5:$E$604,$S38))</f>
        <v/>
      </c>
      <c r="S38" s="31" t="str">
        <f aca="false">IF(B38="","",IFERROR(MATCH(B38,'Pro قاعدة الأغذية'!$C$5:$C$604,0),""))</f>
        <v/>
      </c>
    </row>
    <row r="39" customFormat="false" ht="15" hidden="false" customHeight="false" outlineLevel="0" collapsed="false">
      <c r="A39" s="24"/>
      <c r="B39" s="5"/>
      <c r="C39" s="18"/>
      <c r="D39" s="19" t="str">
        <f aca="false">IF(OR($S39="",N($C39)=0),"",$C39/100*N(INDEX('Pro قاعدة الأغذية'!$F$5:$F$604,$S39)))</f>
        <v/>
      </c>
      <c r="E39" s="22" t="str">
        <f aca="false">IF(OR($S39="",N($C39)=0),"",$C39/100*N(INDEX('Pro قاعدة الأغذية'!$G$5:$G$604,$S39)))</f>
        <v/>
      </c>
      <c r="F39" s="22" t="str">
        <f aca="false">IF(OR($S39="",N($C39)=0),"",$C39/100*N(INDEX('Pro قاعدة الأغذية'!$H$5:$H$604,$S39)))</f>
        <v/>
      </c>
      <c r="G39" s="22" t="str">
        <f aca="false">IF(OR($S39="",N($C39)=0),"",$C39/100*N(INDEX('Pro قاعدة الأغذية'!$I$5:$I$604,$S39)))</f>
        <v/>
      </c>
      <c r="H39" s="22" t="str">
        <f aca="false">IF(OR($S39="",N($C39)=0),"",$C39/100*N(INDEX('Pro قاعدة الأغذية'!$J$5:$J$604,$S39)))</f>
        <v/>
      </c>
      <c r="I39" s="19" t="str">
        <f aca="false">IF(OR($S39="",N($C39)=0),"",$C39/100*N(INDEX('Pro قاعدة الأغذية'!$L$5:$L$604,$S39)))</f>
        <v/>
      </c>
      <c r="J39" s="30" t="str">
        <f aca="false">IF($S39="","",INDEX('Pro قاعدة الأغذية'!$E$5:$E$604,$S39))</f>
        <v/>
      </c>
      <c r="S39" s="31" t="str">
        <f aca="false">IF(B39="","",IFERROR(MATCH(B39,'Pro قاعدة الأغذية'!$C$5:$C$604,0),""))</f>
        <v/>
      </c>
    </row>
    <row r="40" customFormat="false" ht="15" hidden="false" customHeight="false" outlineLevel="0" collapsed="false">
      <c r="A40" s="24"/>
      <c r="B40" s="32" t="s">
        <v>91</v>
      </c>
      <c r="C40" s="33" t="n">
        <f aca="false">SUM(C34:C39)</f>
        <v>510</v>
      </c>
      <c r="D40" s="33" t="n">
        <f aca="false">SUM(D34:D39)</f>
        <v>619.2</v>
      </c>
      <c r="E40" s="33" t="n">
        <f aca="false">SUM(E34:E39)</f>
        <v>33.534</v>
      </c>
      <c r="F40" s="33" t="n">
        <f aca="false">SUM(F34:F39)</f>
        <v>64.732</v>
      </c>
      <c r="G40" s="33" t="n">
        <f aca="false">SUM(G34:G39)</f>
        <v>25.57</v>
      </c>
      <c r="H40" s="34" t="n">
        <f aca="false">SUM(H34:H39)</f>
        <v>11.58</v>
      </c>
      <c r="I40" s="33" t="n">
        <f aca="false">SUM(I34:I39)</f>
        <v>187.8</v>
      </c>
      <c r="K40" s="35" t="n">
        <f aca="false">IF(AND(('Pro إعدادات'!$C$37="نعم"),IF($T$4=1,'Pro إعدادات'!$G$39,'Pro إعدادات'!$D$39)&gt;0),'Pro ملف الرياضي'!$H$23*IF($T$4=1,'Pro إعدادات'!$G$37,'Pro إعدادات'!$D$37)/IF($T$4=1,'Pro إعدادات'!$G$39,'Pro إعدادات'!$D$39),0)</f>
        <v>36</v>
      </c>
      <c r="L40" s="35" t="n">
        <f aca="false">IF(AND(('Pro إعدادات'!$C$37="نعم"),IF($T$4=1,'Pro إعدادات'!$H$39,'Pro إعدادات'!$E$39)&gt;0),'Pro ملف الرياضي'!$I$23*IF($T$4=1,'Pro إعدادات'!$H$37,'Pro إعدادات'!$E$37)/IF($T$4=1,'Pro إعدادات'!$H$39,'Pro إعدادات'!$E$39),0)</f>
        <v>72</v>
      </c>
      <c r="M40" s="35" t="n">
        <f aca="false">IF(AND(('Pro إعدادات'!$C$37="نعم"),IF($T$4=1,'Pro إعدادات'!$I$39,'Pro إعدادات'!$F$39)&gt;0),'Pro ملف الرياضي'!$J$23*IF($T$4=1,'Pro إعدادات'!$I$37,'Pro إعدادات'!$F$37)/IF($T$4=1,'Pro إعدادات'!$I$39,'Pro إعدادات'!$F$39),0)</f>
        <v>21.6</v>
      </c>
      <c r="N40" s="35" t="n">
        <f aca="false">4*K40+4*L40+9*M40</f>
        <v>626.4</v>
      </c>
      <c r="O40" s="21" t="n">
        <f aca="false">E40-K40</f>
        <v>-2.466</v>
      </c>
      <c r="P40" s="21" t="n">
        <f aca="false">F40-L40</f>
        <v>-7.268</v>
      </c>
      <c r="Q40" s="21" t="n">
        <f aca="false">G40-M40</f>
        <v>3.97</v>
      </c>
    </row>
    <row r="41" customFormat="false" ht="15" hidden="false" customHeight="false" outlineLevel="0" collapsed="false">
      <c r="A41" s="14" t="str">
        <f aca="false">'Pro إعدادات'!A38&amp;" ("&amp;'Pro إعدادات'!B38&amp;")"</f>
        <v>وجبة ليلية (22:30)</v>
      </c>
      <c r="B41" s="5"/>
      <c r="C41" s="18"/>
      <c r="D41" s="19" t="str">
        <f aca="false">IF(OR($S41="",N($C41)=0),"",$C41/100*N(INDEX('Pro قاعدة الأغذية'!$F$5:$F$604,$S41)))</f>
        <v/>
      </c>
      <c r="E41" s="22" t="str">
        <f aca="false">IF(OR($S41="",N($C41)=0),"",$C41/100*N(INDEX('Pro قاعدة الأغذية'!$G$5:$G$604,$S41)))</f>
        <v/>
      </c>
      <c r="F41" s="22" t="str">
        <f aca="false">IF(OR($S41="",N($C41)=0),"",$C41/100*N(INDEX('Pro قاعدة الأغذية'!$H$5:$H$604,$S41)))</f>
        <v/>
      </c>
      <c r="G41" s="22" t="str">
        <f aca="false">IF(OR($S41="",N($C41)=0),"",$C41/100*N(INDEX('Pro قاعدة الأغذية'!$I$5:$I$604,$S41)))</f>
        <v/>
      </c>
      <c r="H41" s="22" t="str">
        <f aca="false">IF(OR($S41="",N($C41)=0),"",$C41/100*N(INDEX('Pro قاعدة الأغذية'!$J$5:$J$604,$S41)))</f>
        <v/>
      </c>
      <c r="I41" s="19" t="str">
        <f aca="false">IF(OR($S41="",N($C41)=0),"",$C41/100*N(INDEX('Pro قاعدة الأغذية'!$L$5:$L$604,$S41)))</f>
        <v/>
      </c>
      <c r="J41" s="30" t="str">
        <f aca="false">IF($S41="","",INDEX('Pro قاعدة الأغذية'!$E$5:$E$604,$S41))</f>
        <v/>
      </c>
      <c r="S41" s="31" t="str">
        <f aca="false">IF(B41="","",IFERROR(MATCH(B41,'Pro قاعدة الأغذية'!$C$5:$C$604,0),""))</f>
        <v/>
      </c>
    </row>
    <row r="42" customFormat="false" ht="15" hidden="false" customHeight="false" outlineLevel="0" collapsed="false">
      <c r="A42" s="24"/>
      <c r="B42" s="5"/>
      <c r="C42" s="18"/>
      <c r="D42" s="19" t="str">
        <f aca="false">IF(OR($S42="",N($C42)=0),"",$C42/100*N(INDEX('Pro قاعدة الأغذية'!$F$5:$F$604,$S42)))</f>
        <v/>
      </c>
      <c r="E42" s="22" t="str">
        <f aca="false">IF(OR($S42="",N($C42)=0),"",$C42/100*N(INDEX('Pro قاعدة الأغذية'!$G$5:$G$604,$S42)))</f>
        <v/>
      </c>
      <c r="F42" s="22" t="str">
        <f aca="false">IF(OR($S42="",N($C42)=0),"",$C42/100*N(INDEX('Pro قاعدة الأغذية'!$H$5:$H$604,$S42)))</f>
        <v/>
      </c>
      <c r="G42" s="22" t="str">
        <f aca="false">IF(OR($S42="",N($C42)=0),"",$C42/100*N(INDEX('Pro قاعدة الأغذية'!$I$5:$I$604,$S42)))</f>
        <v/>
      </c>
      <c r="H42" s="22" t="str">
        <f aca="false">IF(OR($S42="",N($C42)=0),"",$C42/100*N(INDEX('Pro قاعدة الأغذية'!$J$5:$J$604,$S42)))</f>
        <v/>
      </c>
      <c r="I42" s="19" t="str">
        <f aca="false">IF(OR($S42="",N($C42)=0),"",$C42/100*N(INDEX('Pro قاعدة الأغذية'!$L$5:$L$604,$S42)))</f>
        <v/>
      </c>
      <c r="J42" s="30" t="str">
        <f aca="false">IF($S42="","",INDEX('Pro قاعدة الأغذية'!$E$5:$E$604,$S42))</f>
        <v/>
      </c>
      <c r="S42" s="31" t="str">
        <f aca="false">IF(B42="","",IFERROR(MATCH(B42,'Pro قاعدة الأغذية'!$C$5:$C$604,0),""))</f>
        <v/>
      </c>
    </row>
    <row r="43" customFormat="false" ht="15" hidden="false" customHeight="false" outlineLevel="0" collapsed="false">
      <c r="A43" s="24"/>
      <c r="B43" s="5"/>
      <c r="C43" s="18"/>
      <c r="D43" s="19" t="str">
        <f aca="false">IF(OR($S43="",N($C43)=0),"",$C43/100*N(INDEX('Pro قاعدة الأغذية'!$F$5:$F$604,$S43)))</f>
        <v/>
      </c>
      <c r="E43" s="22" t="str">
        <f aca="false">IF(OR($S43="",N($C43)=0),"",$C43/100*N(INDEX('Pro قاعدة الأغذية'!$G$5:$G$604,$S43)))</f>
        <v/>
      </c>
      <c r="F43" s="22" t="str">
        <f aca="false">IF(OR($S43="",N($C43)=0),"",$C43/100*N(INDEX('Pro قاعدة الأغذية'!$H$5:$H$604,$S43)))</f>
        <v/>
      </c>
      <c r="G43" s="22" t="str">
        <f aca="false">IF(OR($S43="",N($C43)=0),"",$C43/100*N(INDEX('Pro قاعدة الأغذية'!$I$5:$I$604,$S43)))</f>
        <v/>
      </c>
      <c r="H43" s="22" t="str">
        <f aca="false">IF(OR($S43="",N($C43)=0),"",$C43/100*N(INDEX('Pro قاعدة الأغذية'!$J$5:$J$604,$S43)))</f>
        <v/>
      </c>
      <c r="I43" s="19" t="str">
        <f aca="false">IF(OR($S43="",N($C43)=0),"",$C43/100*N(INDEX('Pro قاعدة الأغذية'!$L$5:$L$604,$S43)))</f>
        <v/>
      </c>
      <c r="J43" s="30" t="str">
        <f aca="false">IF($S43="","",INDEX('Pro قاعدة الأغذية'!$E$5:$E$604,$S43))</f>
        <v/>
      </c>
      <c r="S43" s="31" t="str">
        <f aca="false">IF(B43="","",IFERROR(MATCH(B43,'Pro قاعدة الأغذية'!$C$5:$C$604,0),""))</f>
        <v/>
      </c>
    </row>
    <row r="44" customFormat="false" ht="15" hidden="false" customHeight="false" outlineLevel="0" collapsed="false">
      <c r="A44" s="24"/>
      <c r="B44" s="5"/>
      <c r="C44" s="18"/>
      <c r="D44" s="19" t="str">
        <f aca="false">IF(OR($S44="",N($C44)=0),"",$C44/100*N(INDEX('Pro قاعدة الأغذية'!$F$5:$F$604,$S44)))</f>
        <v/>
      </c>
      <c r="E44" s="22" t="str">
        <f aca="false">IF(OR($S44="",N($C44)=0),"",$C44/100*N(INDEX('Pro قاعدة الأغذية'!$G$5:$G$604,$S44)))</f>
        <v/>
      </c>
      <c r="F44" s="22" t="str">
        <f aca="false">IF(OR($S44="",N($C44)=0),"",$C44/100*N(INDEX('Pro قاعدة الأغذية'!$H$5:$H$604,$S44)))</f>
        <v/>
      </c>
      <c r="G44" s="22" t="str">
        <f aca="false">IF(OR($S44="",N($C44)=0),"",$C44/100*N(INDEX('Pro قاعدة الأغذية'!$I$5:$I$604,$S44)))</f>
        <v/>
      </c>
      <c r="H44" s="22" t="str">
        <f aca="false">IF(OR($S44="",N($C44)=0),"",$C44/100*N(INDEX('Pro قاعدة الأغذية'!$J$5:$J$604,$S44)))</f>
        <v/>
      </c>
      <c r="I44" s="19" t="str">
        <f aca="false">IF(OR($S44="",N($C44)=0),"",$C44/100*N(INDEX('Pro قاعدة الأغذية'!$L$5:$L$604,$S44)))</f>
        <v/>
      </c>
      <c r="J44" s="30" t="str">
        <f aca="false">IF($S44="","",INDEX('Pro قاعدة الأغذية'!$E$5:$E$604,$S44))</f>
        <v/>
      </c>
      <c r="S44" s="31" t="str">
        <f aca="false">IF(B44="","",IFERROR(MATCH(B44,'Pro قاعدة الأغذية'!$C$5:$C$604,0),""))</f>
        <v/>
      </c>
    </row>
    <row r="45" customFormat="false" ht="15" hidden="false" customHeight="false" outlineLevel="0" collapsed="false">
      <c r="A45" s="24"/>
      <c r="B45" s="5"/>
      <c r="C45" s="18"/>
      <c r="D45" s="19" t="str">
        <f aca="false">IF(OR($S45="",N($C45)=0),"",$C45/100*N(INDEX('Pro قاعدة الأغذية'!$F$5:$F$604,$S45)))</f>
        <v/>
      </c>
      <c r="E45" s="22" t="str">
        <f aca="false">IF(OR($S45="",N($C45)=0),"",$C45/100*N(INDEX('Pro قاعدة الأغذية'!$G$5:$G$604,$S45)))</f>
        <v/>
      </c>
      <c r="F45" s="22" t="str">
        <f aca="false">IF(OR($S45="",N($C45)=0),"",$C45/100*N(INDEX('Pro قاعدة الأغذية'!$H$5:$H$604,$S45)))</f>
        <v/>
      </c>
      <c r="G45" s="22" t="str">
        <f aca="false">IF(OR($S45="",N($C45)=0),"",$C45/100*N(INDEX('Pro قاعدة الأغذية'!$I$5:$I$604,$S45)))</f>
        <v/>
      </c>
      <c r="H45" s="22" t="str">
        <f aca="false">IF(OR($S45="",N($C45)=0),"",$C45/100*N(INDEX('Pro قاعدة الأغذية'!$J$5:$J$604,$S45)))</f>
        <v/>
      </c>
      <c r="I45" s="19" t="str">
        <f aca="false">IF(OR($S45="",N($C45)=0),"",$C45/100*N(INDEX('Pro قاعدة الأغذية'!$L$5:$L$604,$S45)))</f>
        <v/>
      </c>
      <c r="J45" s="30" t="str">
        <f aca="false">IF($S45="","",INDEX('Pro قاعدة الأغذية'!$E$5:$E$604,$S45))</f>
        <v/>
      </c>
      <c r="S45" s="31" t="str">
        <f aca="false">IF(B45="","",IFERROR(MATCH(B45,'Pro قاعدة الأغذية'!$C$5:$C$604,0),""))</f>
        <v/>
      </c>
    </row>
    <row r="46" customFormat="false" ht="15" hidden="false" customHeight="false" outlineLevel="0" collapsed="false">
      <c r="A46" s="24"/>
      <c r="B46" s="5"/>
      <c r="C46" s="18"/>
      <c r="D46" s="19" t="str">
        <f aca="false">IF(OR($S46="",N($C46)=0),"",$C46/100*N(INDEX('Pro قاعدة الأغذية'!$F$5:$F$604,$S46)))</f>
        <v/>
      </c>
      <c r="E46" s="22" t="str">
        <f aca="false">IF(OR($S46="",N($C46)=0),"",$C46/100*N(INDEX('Pro قاعدة الأغذية'!$G$5:$G$604,$S46)))</f>
        <v/>
      </c>
      <c r="F46" s="22" t="str">
        <f aca="false">IF(OR($S46="",N($C46)=0),"",$C46/100*N(INDEX('Pro قاعدة الأغذية'!$H$5:$H$604,$S46)))</f>
        <v/>
      </c>
      <c r="G46" s="22" t="str">
        <f aca="false">IF(OR($S46="",N($C46)=0),"",$C46/100*N(INDEX('Pro قاعدة الأغذية'!$I$5:$I$604,$S46)))</f>
        <v/>
      </c>
      <c r="H46" s="22" t="str">
        <f aca="false">IF(OR($S46="",N($C46)=0),"",$C46/100*N(INDEX('Pro قاعدة الأغذية'!$J$5:$J$604,$S46)))</f>
        <v/>
      </c>
      <c r="I46" s="19" t="str">
        <f aca="false">IF(OR($S46="",N($C46)=0),"",$C46/100*N(INDEX('Pro قاعدة الأغذية'!$L$5:$L$604,$S46)))</f>
        <v/>
      </c>
      <c r="J46" s="30" t="str">
        <f aca="false">IF($S46="","",INDEX('Pro قاعدة الأغذية'!$E$5:$E$604,$S46))</f>
        <v/>
      </c>
      <c r="S46" s="31" t="str">
        <f aca="false">IF(B46="","",IFERROR(MATCH(B46,'Pro قاعدة الأغذية'!$C$5:$C$604,0),""))</f>
        <v/>
      </c>
    </row>
    <row r="47" customFormat="false" ht="15" hidden="false" customHeight="false" outlineLevel="0" collapsed="false">
      <c r="A47" s="24"/>
      <c r="B47" s="32" t="s">
        <v>91</v>
      </c>
      <c r="C47" s="33" t="n">
        <f aca="false">SUM(C41:C46)</f>
        <v>0</v>
      </c>
      <c r="D47" s="33" t="n">
        <f aca="false">SUM(D41:D46)</f>
        <v>0</v>
      </c>
      <c r="E47" s="33" t="n">
        <f aca="false">SUM(E41:E46)</f>
        <v>0</v>
      </c>
      <c r="F47" s="33" t="n">
        <f aca="false">SUM(F41:F46)</f>
        <v>0</v>
      </c>
      <c r="G47" s="33" t="n">
        <f aca="false">SUM(G41:G46)</f>
        <v>0</v>
      </c>
      <c r="H47" s="34" t="n">
        <f aca="false">SUM(H41:H46)</f>
        <v>0</v>
      </c>
      <c r="I47" s="33" t="n">
        <f aca="false">SUM(I41:I46)</f>
        <v>0</v>
      </c>
      <c r="K47" s="35" t="n">
        <f aca="false">IF(AND(('Pro إعدادات'!$C$38="نعم"),IF($T$4=1,'Pro إعدادات'!$G$39,'Pro إعدادات'!$D$39)&gt;0),'Pro ملف الرياضي'!$H$23*IF($T$4=1,'Pro إعدادات'!$G$38,'Pro إعدادات'!$D$38)/IF($T$4=1,'Pro إعدادات'!$G$39,'Pro إعدادات'!$D$39),0)</f>
        <v>0</v>
      </c>
      <c r="L47" s="35" t="n">
        <f aca="false">IF(AND(('Pro إعدادات'!$C$38="نعم"),IF($T$4=1,'Pro إعدادات'!$H$39,'Pro إعدادات'!$E$39)&gt;0),'Pro ملف الرياضي'!$I$23*IF($T$4=1,'Pro إعدادات'!$H$38,'Pro إعدادات'!$E$38)/IF($T$4=1,'Pro إعدادات'!$H$39,'Pro إعدادات'!$E$39),0)</f>
        <v>0</v>
      </c>
      <c r="M47" s="35" t="n">
        <f aca="false">IF(AND(('Pro إعدادات'!$C$38="نعم"),IF($T$4=1,'Pro إعدادات'!$I$39,'Pro إعدادات'!$F$39)&gt;0),'Pro ملف الرياضي'!$J$23*IF($T$4=1,'Pro إعدادات'!$I$38,'Pro إعدادات'!$F$38)/IF($T$4=1,'Pro إعدادات'!$I$39,'Pro إعدادات'!$F$39),0)</f>
        <v>0</v>
      </c>
      <c r="N47" s="35" t="n">
        <f aca="false">4*K47+4*L47+9*M47</f>
        <v>0</v>
      </c>
      <c r="O47" s="21" t="n">
        <f aca="false">E47-K47</f>
        <v>0</v>
      </c>
      <c r="P47" s="21" t="n">
        <f aca="false">F47-L47</f>
        <v>0</v>
      </c>
      <c r="Q47" s="21" t="n">
        <f aca="false">G47-M47</f>
        <v>0</v>
      </c>
    </row>
    <row r="48" customFormat="false" ht="17.35" hidden="false" customHeight="false" outlineLevel="0" collapsed="false">
      <c r="B48" s="36" t="s">
        <v>103</v>
      </c>
      <c r="C48" s="33" t="n">
        <f aca="false">C12+C19+C26+C33+C40+C47</f>
        <v>1904</v>
      </c>
      <c r="D48" s="35" t="n">
        <f aca="false">D12+D19+D26+D33+D40+D47</f>
        <v>2954.48</v>
      </c>
      <c r="E48" s="35" t="n">
        <f aca="false">E12+E19+E26+E33+E40+E47</f>
        <v>153.4684</v>
      </c>
      <c r="F48" s="35" t="n">
        <f aca="false">F12+F19+F26+F33+F40+F47</f>
        <v>448.4695</v>
      </c>
      <c r="G48" s="35" t="n">
        <f aca="false">G12+G19+G26+G33+G40+G47</f>
        <v>65.237</v>
      </c>
      <c r="H48" s="37" t="n">
        <f aca="false">H12+H19+H26+H33+H40+H47</f>
        <v>42.733</v>
      </c>
      <c r="I48" s="35" t="n">
        <f aca="false">I12+I19+I26+I33+I40+I47</f>
        <v>1066.64</v>
      </c>
      <c r="K48" s="35" t="n">
        <f aca="false">K12+K19+K26+K33+K40+K47</f>
        <v>144</v>
      </c>
      <c r="L48" s="35" t="n">
        <f aca="false">L12+L19+L26+L33+L40+L47</f>
        <v>480</v>
      </c>
      <c r="M48" s="35" t="n">
        <f aca="false">M12+M19+M26+M33+M40+M47</f>
        <v>72</v>
      </c>
      <c r="N48" s="35" t="n">
        <f aca="false">N12+N19+N26+N33+N40+N47</f>
        <v>3144</v>
      </c>
    </row>
    <row r="49" customFormat="false" ht="15" hidden="false" customHeight="false" outlineLevel="0" collapsed="false">
      <c r="B49" s="32" t="s">
        <v>104</v>
      </c>
      <c r="D49" s="21" t="n">
        <f aca="false">D48-'Pro ملف الرياضي'!G23</f>
        <v>118.73</v>
      </c>
      <c r="E49" s="21" t="n">
        <f aca="false">E48-'Pro ملف الرياضي'!H23</f>
        <v>9.46839999999997</v>
      </c>
      <c r="F49" s="21" t="n">
        <f aca="false">F48-'Pro ملف الرياضي'!I23</f>
        <v>-31.5305000000001</v>
      </c>
      <c r="G49" s="21" t="n">
        <f aca="false">G48-'Pro ملف الرياضي'!J23</f>
        <v>-6.76300000000001</v>
      </c>
    </row>
    <row r="50" customFormat="false" ht="15" hidden="false" customHeight="false" outlineLevel="0" collapsed="false">
      <c r="B50" s="32" t="s">
        <v>80</v>
      </c>
      <c r="D50" s="38" t="str">
        <f aca="false">IF(AND(ABS(E49)&lt;='Pro إعدادات'!$B$28*2,ABS(F49)&lt;='Pro إعدادات'!$B$28*3,ABS(G49)&lt;='Pro إعدادات'!$B$28*2),"✔ ضمن السماحية","◐ راجع الفروقات")</f>
        <v>◐ راجع الفروقات</v>
      </c>
    </row>
    <row r="52" customFormat="false" ht="17.35" hidden="false" customHeight="false" outlineLevel="0" collapsed="false">
      <c r="A52" s="28" t="str">
        <f aca="false">"الاثنين — "&amp;'Pro ملف الرياضي'!B24&amp;"  |  الهدف: "&amp;ROUND('Pro ملف الرياضي'!G24,0)&amp;" kcal  •  بروتين "&amp;ROUND('Pro ملف الرياضي'!H24,0)&amp;" جم  •  كارب "&amp;ROUND('Pro ملف الرياضي'!I24,0)&amp;" جم  •  دهون "&amp;ROUND('Pro ملف الرياضي'!J24,0)&amp;" جم"</f>
        <v>الاثنين — تدريب متوسط  |  الهدف: 2671 kcal  •  بروتين 144 جم  •  كارب 400 جم  •  دهون 72 جم</v>
      </c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T52" s="29" t="n">
        <f aca="false">IF(INDEX('Pro إعدادات'!$D$14:$D$19,MATCH('Pro ملف الرياضي'!B24,'Pro إعدادات'!$A$14:$A$19,0))="نعم",1,0)</f>
        <v>1</v>
      </c>
    </row>
    <row r="53" customFormat="false" ht="15" hidden="false" customHeight="false" outlineLevel="0" collapsed="false">
      <c r="A53" s="15" t="s">
        <v>74</v>
      </c>
      <c r="B53" s="15" t="s">
        <v>75</v>
      </c>
      <c r="C53" s="15" t="s">
        <v>76</v>
      </c>
      <c r="D53" s="15" t="s">
        <v>77</v>
      </c>
      <c r="E53" s="15" t="s">
        <v>38</v>
      </c>
      <c r="F53" s="15" t="s">
        <v>39</v>
      </c>
      <c r="G53" s="15" t="s">
        <v>40</v>
      </c>
      <c r="H53" s="15" t="s">
        <v>78</v>
      </c>
      <c r="I53" s="15" t="s">
        <v>79</v>
      </c>
      <c r="J53" s="15" t="s">
        <v>80</v>
      </c>
      <c r="K53" s="15" t="s">
        <v>81</v>
      </c>
      <c r="L53" s="15" t="s">
        <v>82</v>
      </c>
      <c r="M53" s="15" t="s">
        <v>83</v>
      </c>
      <c r="N53" s="15" t="s">
        <v>84</v>
      </c>
      <c r="O53" s="15" t="s">
        <v>85</v>
      </c>
      <c r="P53" s="15" t="s">
        <v>86</v>
      </c>
      <c r="Q53" s="15" t="s">
        <v>87</v>
      </c>
    </row>
    <row r="54" customFormat="false" ht="15" hidden="false" customHeight="false" outlineLevel="0" collapsed="false">
      <c r="A54" s="14" t="str">
        <f aca="false">'Pro إعدادات'!A33&amp;" ("&amp;'Pro إعدادات'!B33&amp;")"</f>
        <v>الإفطار (07:30)</v>
      </c>
      <c r="B54" s="5"/>
      <c r="C54" s="18"/>
      <c r="D54" s="19" t="str">
        <f aca="false">IF(OR($S54="",N($C54)=0),"",$C54/100*N(INDEX('Pro قاعدة الأغذية'!$F$5:$F$604,$S54)))</f>
        <v/>
      </c>
      <c r="E54" s="22" t="str">
        <f aca="false">IF(OR($S54="",N($C54)=0),"",$C54/100*N(INDEX('Pro قاعدة الأغذية'!$G$5:$G$604,$S54)))</f>
        <v/>
      </c>
      <c r="F54" s="22" t="str">
        <f aca="false">IF(OR($S54="",N($C54)=0),"",$C54/100*N(INDEX('Pro قاعدة الأغذية'!$H$5:$H$604,$S54)))</f>
        <v/>
      </c>
      <c r="G54" s="22" t="str">
        <f aca="false">IF(OR($S54="",N($C54)=0),"",$C54/100*N(INDEX('Pro قاعدة الأغذية'!$I$5:$I$604,$S54)))</f>
        <v/>
      </c>
      <c r="H54" s="22" t="str">
        <f aca="false">IF(OR($S54="",N($C54)=0),"",$C54/100*N(INDEX('Pro قاعدة الأغذية'!$J$5:$J$604,$S54)))</f>
        <v/>
      </c>
      <c r="I54" s="19" t="str">
        <f aca="false">IF(OR($S54="",N($C54)=0),"",$C54/100*N(INDEX('Pro قاعدة الأغذية'!$L$5:$L$604,$S54)))</f>
        <v/>
      </c>
      <c r="J54" s="30" t="str">
        <f aca="false">IF($S54="","",INDEX('Pro قاعدة الأغذية'!$E$5:$E$604,$S54))</f>
        <v/>
      </c>
      <c r="S54" s="31" t="str">
        <f aca="false">IF(B54="","",IFERROR(MATCH(B54,'Pro قاعدة الأغذية'!$C$5:$C$604,0),""))</f>
        <v/>
      </c>
    </row>
    <row r="55" customFormat="false" ht="15" hidden="false" customHeight="false" outlineLevel="0" collapsed="false">
      <c r="A55" s="24"/>
      <c r="B55" s="5"/>
      <c r="C55" s="18"/>
      <c r="D55" s="19" t="str">
        <f aca="false">IF(OR($S55="",N($C55)=0),"",$C55/100*N(INDEX('Pro قاعدة الأغذية'!$F$5:$F$604,$S55)))</f>
        <v/>
      </c>
      <c r="E55" s="22" t="str">
        <f aca="false">IF(OR($S55="",N($C55)=0),"",$C55/100*N(INDEX('Pro قاعدة الأغذية'!$G$5:$G$604,$S55)))</f>
        <v/>
      </c>
      <c r="F55" s="22" t="str">
        <f aca="false">IF(OR($S55="",N($C55)=0),"",$C55/100*N(INDEX('Pro قاعدة الأغذية'!$H$5:$H$604,$S55)))</f>
        <v/>
      </c>
      <c r="G55" s="22" t="str">
        <f aca="false">IF(OR($S55="",N($C55)=0),"",$C55/100*N(INDEX('Pro قاعدة الأغذية'!$I$5:$I$604,$S55)))</f>
        <v/>
      </c>
      <c r="H55" s="22" t="str">
        <f aca="false">IF(OR($S55="",N($C55)=0),"",$C55/100*N(INDEX('Pro قاعدة الأغذية'!$J$5:$J$604,$S55)))</f>
        <v/>
      </c>
      <c r="I55" s="19" t="str">
        <f aca="false">IF(OR($S55="",N($C55)=0),"",$C55/100*N(INDEX('Pro قاعدة الأغذية'!$L$5:$L$604,$S55)))</f>
        <v/>
      </c>
      <c r="J55" s="30" t="str">
        <f aca="false">IF($S55="","",INDEX('Pro قاعدة الأغذية'!$E$5:$E$604,$S55))</f>
        <v/>
      </c>
      <c r="S55" s="31" t="str">
        <f aca="false">IF(B55="","",IFERROR(MATCH(B55,'Pro قاعدة الأغذية'!$C$5:$C$604,0),""))</f>
        <v/>
      </c>
    </row>
    <row r="56" customFormat="false" ht="15" hidden="false" customHeight="false" outlineLevel="0" collapsed="false">
      <c r="A56" s="24"/>
      <c r="B56" s="5"/>
      <c r="C56" s="18"/>
      <c r="D56" s="19" t="str">
        <f aca="false">IF(OR($S56="",N($C56)=0),"",$C56/100*N(INDEX('Pro قاعدة الأغذية'!$F$5:$F$604,$S56)))</f>
        <v/>
      </c>
      <c r="E56" s="22" t="str">
        <f aca="false">IF(OR($S56="",N($C56)=0),"",$C56/100*N(INDEX('Pro قاعدة الأغذية'!$G$5:$G$604,$S56)))</f>
        <v/>
      </c>
      <c r="F56" s="22" t="str">
        <f aca="false">IF(OR($S56="",N($C56)=0),"",$C56/100*N(INDEX('Pro قاعدة الأغذية'!$H$5:$H$604,$S56)))</f>
        <v/>
      </c>
      <c r="G56" s="22" t="str">
        <f aca="false">IF(OR($S56="",N($C56)=0),"",$C56/100*N(INDEX('Pro قاعدة الأغذية'!$I$5:$I$604,$S56)))</f>
        <v/>
      </c>
      <c r="H56" s="22" t="str">
        <f aca="false">IF(OR($S56="",N($C56)=0),"",$C56/100*N(INDEX('Pro قاعدة الأغذية'!$J$5:$J$604,$S56)))</f>
        <v/>
      </c>
      <c r="I56" s="19" t="str">
        <f aca="false">IF(OR($S56="",N($C56)=0),"",$C56/100*N(INDEX('Pro قاعدة الأغذية'!$L$5:$L$604,$S56)))</f>
        <v/>
      </c>
      <c r="J56" s="30" t="str">
        <f aca="false">IF($S56="","",INDEX('Pro قاعدة الأغذية'!$E$5:$E$604,$S56))</f>
        <v/>
      </c>
      <c r="S56" s="31" t="str">
        <f aca="false">IF(B56="","",IFERROR(MATCH(B56,'Pro قاعدة الأغذية'!$C$5:$C$604,0),""))</f>
        <v/>
      </c>
    </row>
    <row r="57" customFormat="false" ht="15" hidden="false" customHeight="false" outlineLevel="0" collapsed="false">
      <c r="A57" s="24"/>
      <c r="B57" s="5"/>
      <c r="C57" s="18"/>
      <c r="D57" s="19" t="str">
        <f aca="false">IF(OR($S57="",N($C57)=0),"",$C57/100*N(INDEX('Pro قاعدة الأغذية'!$F$5:$F$604,$S57)))</f>
        <v/>
      </c>
      <c r="E57" s="22" t="str">
        <f aca="false">IF(OR($S57="",N($C57)=0),"",$C57/100*N(INDEX('Pro قاعدة الأغذية'!$G$5:$G$604,$S57)))</f>
        <v/>
      </c>
      <c r="F57" s="22" t="str">
        <f aca="false">IF(OR($S57="",N($C57)=0),"",$C57/100*N(INDEX('Pro قاعدة الأغذية'!$H$5:$H$604,$S57)))</f>
        <v/>
      </c>
      <c r="G57" s="22" t="str">
        <f aca="false">IF(OR($S57="",N($C57)=0),"",$C57/100*N(INDEX('Pro قاعدة الأغذية'!$I$5:$I$604,$S57)))</f>
        <v/>
      </c>
      <c r="H57" s="22" t="str">
        <f aca="false">IF(OR($S57="",N($C57)=0),"",$C57/100*N(INDEX('Pro قاعدة الأغذية'!$J$5:$J$604,$S57)))</f>
        <v/>
      </c>
      <c r="I57" s="19" t="str">
        <f aca="false">IF(OR($S57="",N($C57)=0),"",$C57/100*N(INDEX('Pro قاعدة الأغذية'!$L$5:$L$604,$S57)))</f>
        <v/>
      </c>
      <c r="J57" s="30" t="str">
        <f aca="false">IF($S57="","",INDEX('Pro قاعدة الأغذية'!$E$5:$E$604,$S57))</f>
        <v/>
      </c>
      <c r="S57" s="31" t="str">
        <f aca="false">IF(B57="","",IFERROR(MATCH(B57,'Pro قاعدة الأغذية'!$C$5:$C$604,0),""))</f>
        <v/>
      </c>
    </row>
    <row r="58" customFormat="false" ht="15" hidden="false" customHeight="false" outlineLevel="0" collapsed="false">
      <c r="A58" s="24"/>
      <c r="B58" s="5"/>
      <c r="C58" s="18"/>
      <c r="D58" s="19" t="str">
        <f aca="false">IF(OR($S58="",N($C58)=0),"",$C58/100*N(INDEX('Pro قاعدة الأغذية'!$F$5:$F$604,$S58)))</f>
        <v/>
      </c>
      <c r="E58" s="22" t="str">
        <f aca="false">IF(OR($S58="",N($C58)=0),"",$C58/100*N(INDEX('Pro قاعدة الأغذية'!$G$5:$G$604,$S58)))</f>
        <v/>
      </c>
      <c r="F58" s="22" t="str">
        <f aca="false">IF(OR($S58="",N($C58)=0),"",$C58/100*N(INDEX('Pro قاعدة الأغذية'!$H$5:$H$604,$S58)))</f>
        <v/>
      </c>
      <c r="G58" s="22" t="str">
        <f aca="false">IF(OR($S58="",N($C58)=0),"",$C58/100*N(INDEX('Pro قاعدة الأغذية'!$I$5:$I$604,$S58)))</f>
        <v/>
      </c>
      <c r="H58" s="22" t="str">
        <f aca="false">IF(OR($S58="",N($C58)=0),"",$C58/100*N(INDEX('Pro قاعدة الأغذية'!$J$5:$J$604,$S58)))</f>
        <v/>
      </c>
      <c r="I58" s="19" t="str">
        <f aca="false">IF(OR($S58="",N($C58)=0),"",$C58/100*N(INDEX('Pro قاعدة الأغذية'!$L$5:$L$604,$S58)))</f>
        <v/>
      </c>
      <c r="J58" s="30" t="str">
        <f aca="false">IF($S58="","",INDEX('Pro قاعدة الأغذية'!$E$5:$E$604,$S58))</f>
        <v/>
      </c>
      <c r="S58" s="31" t="str">
        <f aca="false">IF(B58="","",IFERROR(MATCH(B58,'Pro قاعدة الأغذية'!$C$5:$C$604,0),""))</f>
        <v/>
      </c>
    </row>
    <row r="59" customFormat="false" ht="15" hidden="false" customHeight="false" outlineLevel="0" collapsed="false">
      <c r="A59" s="24"/>
      <c r="B59" s="5"/>
      <c r="C59" s="18"/>
      <c r="D59" s="19" t="str">
        <f aca="false">IF(OR($S59="",N($C59)=0),"",$C59/100*N(INDEX('Pro قاعدة الأغذية'!$F$5:$F$604,$S59)))</f>
        <v/>
      </c>
      <c r="E59" s="22" t="str">
        <f aca="false">IF(OR($S59="",N($C59)=0),"",$C59/100*N(INDEX('Pro قاعدة الأغذية'!$G$5:$G$604,$S59)))</f>
        <v/>
      </c>
      <c r="F59" s="22" t="str">
        <f aca="false">IF(OR($S59="",N($C59)=0),"",$C59/100*N(INDEX('Pro قاعدة الأغذية'!$H$5:$H$604,$S59)))</f>
        <v/>
      </c>
      <c r="G59" s="22" t="str">
        <f aca="false">IF(OR($S59="",N($C59)=0),"",$C59/100*N(INDEX('Pro قاعدة الأغذية'!$I$5:$I$604,$S59)))</f>
        <v/>
      </c>
      <c r="H59" s="22" t="str">
        <f aca="false">IF(OR($S59="",N($C59)=0),"",$C59/100*N(INDEX('Pro قاعدة الأغذية'!$J$5:$J$604,$S59)))</f>
        <v/>
      </c>
      <c r="I59" s="19" t="str">
        <f aca="false">IF(OR($S59="",N($C59)=0),"",$C59/100*N(INDEX('Pro قاعدة الأغذية'!$L$5:$L$604,$S59)))</f>
        <v/>
      </c>
      <c r="J59" s="30" t="str">
        <f aca="false">IF($S59="","",INDEX('Pro قاعدة الأغذية'!$E$5:$E$604,$S59))</f>
        <v/>
      </c>
      <c r="S59" s="31" t="str">
        <f aca="false">IF(B59="","",IFERROR(MATCH(B59,'Pro قاعدة الأغذية'!$C$5:$C$604,0),""))</f>
        <v/>
      </c>
    </row>
    <row r="60" customFormat="false" ht="15" hidden="false" customHeight="false" outlineLevel="0" collapsed="false">
      <c r="A60" s="24"/>
      <c r="B60" s="32" t="s">
        <v>91</v>
      </c>
      <c r="C60" s="33" t="n">
        <f aca="false">SUM(C54:C59)</f>
        <v>0</v>
      </c>
      <c r="D60" s="33" t="n">
        <f aca="false">SUM(D54:D59)</f>
        <v>0</v>
      </c>
      <c r="E60" s="33" t="n">
        <f aca="false">SUM(E54:E59)</f>
        <v>0</v>
      </c>
      <c r="F60" s="33" t="n">
        <f aca="false">SUM(F54:F59)</f>
        <v>0</v>
      </c>
      <c r="G60" s="33" t="n">
        <f aca="false">SUM(G54:G59)</f>
        <v>0</v>
      </c>
      <c r="H60" s="34" t="n">
        <f aca="false">SUM(H54:H59)</f>
        <v>0</v>
      </c>
      <c r="I60" s="33" t="n">
        <f aca="false">SUM(I54:I59)</f>
        <v>0</v>
      </c>
      <c r="K60" s="35" t="n">
        <f aca="false">IF(AND(('Pro إعدادات'!$C$33="نعم"),IF($T$52=1,'Pro إعدادات'!$G$39,'Pro إعدادات'!$D$39)&gt;0),'Pro ملف الرياضي'!$H$24*IF($T$52=1,'Pro إعدادات'!$G$33,'Pro إعدادات'!$D$33)/IF($T$52=1,'Pro إعدادات'!$G$39,'Pro إعدادات'!$D$39),0)</f>
        <v>28.8</v>
      </c>
      <c r="L60" s="35" t="n">
        <f aca="false">IF(AND(('Pro إعدادات'!$C$33="نعم"),IF($T$52=1,'Pro إعدادات'!$H$39,'Pro إعدادات'!$E$39)&gt;0),'Pro ملف الرياضي'!$I$24*IF($T$52=1,'Pro إعدادات'!$H$33,'Pro إعدادات'!$E$33)/IF($T$52=1,'Pro إعدادات'!$H$39,'Pro إعدادات'!$E$39),0)</f>
        <v>80</v>
      </c>
      <c r="M60" s="35" t="n">
        <f aca="false">IF(AND(('Pro إعدادات'!$C$33="نعم"),IF($T$52=1,'Pro إعدادات'!$I$39,'Pro إعدادات'!$F$39)&gt;0),'Pro ملف الرياضي'!$J$24*IF($T$52=1,'Pro إعدادات'!$I$33,'Pro إعدادات'!$F$33)/IF($T$52=1,'Pro إعدادات'!$I$39,'Pro إعدادات'!$F$39),0)</f>
        <v>18</v>
      </c>
      <c r="N60" s="35" t="n">
        <f aca="false">4*K60+4*L60+9*M60</f>
        <v>597.2</v>
      </c>
      <c r="O60" s="21" t="n">
        <f aca="false">E60-K60</f>
        <v>-28.8</v>
      </c>
      <c r="P60" s="21" t="n">
        <f aca="false">F60-L60</f>
        <v>-80</v>
      </c>
      <c r="Q60" s="21" t="n">
        <f aca="false">G60-M60</f>
        <v>-18</v>
      </c>
    </row>
    <row r="61" customFormat="false" ht="15" hidden="false" customHeight="false" outlineLevel="0" collapsed="false">
      <c r="A61" s="14" t="str">
        <f aca="false">'Pro إعدادات'!A34&amp;" ("&amp;'Pro إعدادات'!B34&amp;")"</f>
        <v>سناك 1 / قبل التدريب (10:30)</v>
      </c>
      <c r="B61" s="5"/>
      <c r="C61" s="18"/>
      <c r="D61" s="19" t="str">
        <f aca="false">IF(OR($S61="",N($C61)=0),"",$C61/100*N(INDEX('Pro قاعدة الأغذية'!$F$5:$F$604,$S61)))</f>
        <v/>
      </c>
      <c r="E61" s="22" t="str">
        <f aca="false">IF(OR($S61="",N($C61)=0),"",$C61/100*N(INDEX('Pro قاعدة الأغذية'!$G$5:$G$604,$S61)))</f>
        <v/>
      </c>
      <c r="F61" s="22" t="str">
        <f aca="false">IF(OR($S61="",N($C61)=0),"",$C61/100*N(INDEX('Pro قاعدة الأغذية'!$H$5:$H$604,$S61)))</f>
        <v/>
      </c>
      <c r="G61" s="22" t="str">
        <f aca="false">IF(OR($S61="",N($C61)=0),"",$C61/100*N(INDEX('Pro قاعدة الأغذية'!$I$5:$I$604,$S61)))</f>
        <v/>
      </c>
      <c r="H61" s="22" t="str">
        <f aca="false">IF(OR($S61="",N($C61)=0),"",$C61/100*N(INDEX('Pro قاعدة الأغذية'!$J$5:$J$604,$S61)))</f>
        <v/>
      </c>
      <c r="I61" s="19" t="str">
        <f aca="false">IF(OR($S61="",N($C61)=0),"",$C61/100*N(INDEX('Pro قاعدة الأغذية'!$L$5:$L$604,$S61)))</f>
        <v/>
      </c>
      <c r="J61" s="30" t="str">
        <f aca="false">IF($S61="","",INDEX('Pro قاعدة الأغذية'!$E$5:$E$604,$S61))</f>
        <v/>
      </c>
      <c r="S61" s="31" t="str">
        <f aca="false">IF(B61="","",IFERROR(MATCH(B61,'Pro قاعدة الأغذية'!$C$5:$C$604,0),""))</f>
        <v/>
      </c>
    </row>
    <row r="62" customFormat="false" ht="15" hidden="false" customHeight="false" outlineLevel="0" collapsed="false">
      <c r="A62" s="24"/>
      <c r="B62" s="5"/>
      <c r="C62" s="18"/>
      <c r="D62" s="19" t="str">
        <f aca="false">IF(OR($S62="",N($C62)=0),"",$C62/100*N(INDEX('Pro قاعدة الأغذية'!$F$5:$F$604,$S62)))</f>
        <v/>
      </c>
      <c r="E62" s="22" t="str">
        <f aca="false">IF(OR($S62="",N($C62)=0),"",$C62/100*N(INDEX('Pro قاعدة الأغذية'!$G$5:$G$604,$S62)))</f>
        <v/>
      </c>
      <c r="F62" s="22" t="str">
        <f aca="false">IF(OR($S62="",N($C62)=0),"",$C62/100*N(INDEX('Pro قاعدة الأغذية'!$H$5:$H$604,$S62)))</f>
        <v/>
      </c>
      <c r="G62" s="22" t="str">
        <f aca="false">IF(OR($S62="",N($C62)=0),"",$C62/100*N(INDEX('Pro قاعدة الأغذية'!$I$5:$I$604,$S62)))</f>
        <v/>
      </c>
      <c r="H62" s="22" t="str">
        <f aca="false">IF(OR($S62="",N($C62)=0),"",$C62/100*N(INDEX('Pro قاعدة الأغذية'!$J$5:$J$604,$S62)))</f>
        <v/>
      </c>
      <c r="I62" s="19" t="str">
        <f aca="false">IF(OR($S62="",N($C62)=0),"",$C62/100*N(INDEX('Pro قاعدة الأغذية'!$L$5:$L$604,$S62)))</f>
        <v/>
      </c>
      <c r="J62" s="30" t="str">
        <f aca="false">IF($S62="","",INDEX('Pro قاعدة الأغذية'!$E$5:$E$604,$S62))</f>
        <v/>
      </c>
      <c r="S62" s="31" t="str">
        <f aca="false">IF(B62="","",IFERROR(MATCH(B62,'Pro قاعدة الأغذية'!$C$5:$C$604,0),""))</f>
        <v/>
      </c>
    </row>
    <row r="63" customFormat="false" ht="15" hidden="false" customHeight="false" outlineLevel="0" collapsed="false">
      <c r="A63" s="24"/>
      <c r="B63" s="5"/>
      <c r="C63" s="18"/>
      <c r="D63" s="19" t="str">
        <f aca="false">IF(OR($S63="",N($C63)=0),"",$C63/100*N(INDEX('Pro قاعدة الأغذية'!$F$5:$F$604,$S63)))</f>
        <v/>
      </c>
      <c r="E63" s="22" t="str">
        <f aca="false">IF(OR($S63="",N($C63)=0),"",$C63/100*N(INDEX('Pro قاعدة الأغذية'!$G$5:$G$604,$S63)))</f>
        <v/>
      </c>
      <c r="F63" s="22" t="str">
        <f aca="false">IF(OR($S63="",N($C63)=0),"",$C63/100*N(INDEX('Pro قاعدة الأغذية'!$H$5:$H$604,$S63)))</f>
        <v/>
      </c>
      <c r="G63" s="22" t="str">
        <f aca="false">IF(OR($S63="",N($C63)=0),"",$C63/100*N(INDEX('Pro قاعدة الأغذية'!$I$5:$I$604,$S63)))</f>
        <v/>
      </c>
      <c r="H63" s="22" t="str">
        <f aca="false">IF(OR($S63="",N($C63)=0),"",$C63/100*N(INDEX('Pro قاعدة الأغذية'!$J$5:$J$604,$S63)))</f>
        <v/>
      </c>
      <c r="I63" s="19" t="str">
        <f aca="false">IF(OR($S63="",N($C63)=0),"",$C63/100*N(INDEX('Pro قاعدة الأغذية'!$L$5:$L$604,$S63)))</f>
        <v/>
      </c>
      <c r="J63" s="30" t="str">
        <f aca="false">IF($S63="","",INDEX('Pro قاعدة الأغذية'!$E$5:$E$604,$S63))</f>
        <v/>
      </c>
      <c r="S63" s="31" t="str">
        <f aca="false">IF(B63="","",IFERROR(MATCH(B63,'Pro قاعدة الأغذية'!$C$5:$C$604,0),""))</f>
        <v/>
      </c>
    </row>
    <row r="64" customFormat="false" ht="15" hidden="false" customHeight="false" outlineLevel="0" collapsed="false">
      <c r="A64" s="24"/>
      <c r="B64" s="5"/>
      <c r="C64" s="18"/>
      <c r="D64" s="19" t="str">
        <f aca="false">IF(OR($S64="",N($C64)=0),"",$C64/100*N(INDEX('Pro قاعدة الأغذية'!$F$5:$F$604,$S64)))</f>
        <v/>
      </c>
      <c r="E64" s="22" t="str">
        <f aca="false">IF(OR($S64="",N($C64)=0),"",$C64/100*N(INDEX('Pro قاعدة الأغذية'!$G$5:$G$604,$S64)))</f>
        <v/>
      </c>
      <c r="F64" s="22" t="str">
        <f aca="false">IF(OR($S64="",N($C64)=0),"",$C64/100*N(INDEX('Pro قاعدة الأغذية'!$H$5:$H$604,$S64)))</f>
        <v/>
      </c>
      <c r="G64" s="22" t="str">
        <f aca="false">IF(OR($S64="",N($C64)=0),"",$C64/100*N(INDEX('Pro قاعدة الأغذية'!$I$5:$I$604,$S64)))</f>
        <v/>
      </c>
      <c r="H64" s="22" t="str">
        <f aca="false">IF(OR($S64="",N($C64)=0),"",$C64/100*N(INDEX('Pro قاعدة الأغذية'!$J$5:$J$604,$S64)))</f>
        <v/>
      </c>
      <c r="I64" s="19" t="str">
        <f aca="false">IF(OR($S64="",N($C64)=0),"",$C64/100*N(INDEX('Pro قاعدة الأغذية'!$L$5:$L$604,$S64)))</f>
        <v/>
      </c>
      <c r="J64" s="30" t="str">
        <f aca="false">IF($S64="","",INDEX('Pro قاعدة الأغذية'!$E$5:$E$604,$S64))</f>
        <v/>
      </c>
      <c r="S64" s="31" t="str">
        <f aca="false">IF(B64="","",IFERROR(MATCH(B64,'Pro قاعدة الأغذية'!$C$5:$C$604,0),""))</f>
        <v/>
      </c>
    </row>
    <row r="65" customFormat="false" ht="15" hidden="false" customHeight="false" outlineLevel="0" collapsed="false">
      <c r="A65" s="24"/>
      <c r="B65" s="5"/>
      <c r="C65" s="18"/>
      <c r="D65" s="19" t="str">
        <f aca="false">IF(OR($S65="",N($C65)=0),"",$C65/100*N(INDEX('Pro قاعدة الأغذية'!$F$5:$F$604,$S65)))</f>
        <v/>
      </c>
      <c r="E65" s="22" t="str">
        <f aca="false">IF(OR($S65="",N($C65)=0),"",$C65/100*N(INDEX('Pro قاعدة الأغذية'!$G$5:$G$604,$S65)))</f>
        <v/>
      </c>
      <c r="F65" s="22" t="str">
        <f aca="false">IF(OR($S65="",N($C65)=0),"",$C65/100*N(INDEX('Pro قاعدة الأغذية'!$H$5:$H$604,$S65)))</f>
        <v/>
      </c>
      <c r="G65" s="22" t="str">
        <f aca="false">IF(OR($S65="",N($C65)=0),"",$C65/100*N(INDEX('Pro قاعدة الأغذية'!$I$5:$I$604,$S65)))</f>
        <v/>
      </c>
      <c r="H65" s="22" t="str">
        <f aca="false">IF(OR($S65="",N($C65)=0),"",$C65/100*N(INDEX('Pro قاعدة الأغذية'!$J$5:$J$604,$S65)))</f>
        <v/>
      </c>
      <c r="I65" s="19" t="str">
        <f aca="false">IF(OR($S65="",N($C65)=0),"",$C65/100*N(INDEX('Pro قاعدة الأغذية'!$L$5:$L$604,$S65)))</f>
        <v/>
      </c>
      <c r="J65" s="30" t="str">
        <f aca="false">IF($S65="","",INDEX('Pro قاعدة الأغذية'!$E$5:$E$604,$S65))</f>
        <v/>
      </c>
      <c r="S65" s="31" t="str">
        <f aca="false">IF(B65="","",IFERROR(MATCH(B65,'Pro قاعدة الأغذية'!$C$5:$C$604,0),""))</f>
        <v/>
      </c>
    </row>
    <row r="66" customFormat="false" ht="15" hidden="false" customHeight="false" outlineLevel="0" collapsed="false">
      <c r="A66" s="24"/>
      <c r="B66" s="5"/>
      <c r="C66" s="18"/>
      <c r="D66" s="19" t="str">
        <f aca="false">IF(OR($S66="",N($C66)=0),"",$C66/100*N(INDEX('Pro قاعدة الأغذية'!$F$5:$F$604,$S66)))</f>
        <v/>
      </c>
      <c r="E66" s="22" t="str">
        <f aca="false">IF(OR($S66="",N($C66)=0),"",$C66/100*N(INDEX('Pro قاعدة الأغذية'!$G$5:$G$604,$S66)))</f>
        <v/>
      </c>
      <c r="F66" s="22" t="str">
        <f aca="false">IF(OR($S66="",N($C66)=0),"",$C66/100*N(INDEX('Pro قاعدة الأغذية'!$H$5:$H$604,$S66)))</f>
        <v/>
      </c>
      <c r="G66" s="22" t="str">
        <f aca="false">IF(OR($S66="",N($C66)=0),"",$C66/100*N(INDEX('Pro قاعدة الأغذية'!$I$5:$I$604,$S66)))</f>
        <v/>
      </c>
      <c r="H66" s="22" t="str">
        <f aca="false">IF(OR($S66="",N($C66)=0),"",$C66/100*N(INDEX('Pro قاعدة الأغذية'!$J$5:$J$604,$S66)))</f>
        <v/>
      </c>
      <c r="I66" s="19" t="str">
        <f aca="false">IF(OR($S66="",N($C66)=0),"",$C66/100*N(INDEX('Pro قاعدة الأغذية'!$L$5:$L$604,$S66)))</f>
        <v/>
      </c>
      <c r="J66" s="30" t="str">
        <f aca="false">IF($S66="","",INDEX('Pro قاعدة الأغذية'!$E$5:$E$604,$S66))</f>
        <v/>
      </c>
      <c r="S66" s="31" t="str">
        <f aca="false">IF(B66="","",IFERROR(MATCH(B66,'Pro قاعدة الأغذية'!$C$5:$C$604,0),""))</f>
        <v/>
      </c>
    </row>
    <row r="67" customFormat="false" ht="15" hidden="false" customHeight="false" outlineLevel="0" collapsed="false">
      <c r="A67" s="24"/>
      <c r="B67" s="32" t="s">
        <v>91</v>
      </c>
      <c r="C67" s="33" t="n">
        <f aca="false">SUM(C61:C66)</f>
        <v>0</v>
      </c>
      <c r="D67" s="33" t="n">
        <f aca="false">SUM(D61:D66)</f>
        <v>0</v>
      </c>
      <c r="E67" s="33" t="n">
        <f aca="false">SUM(E61:E66)</f>
        <v>0</v>
      </c>
      <c r="F67" s="33" t="n">
        <f aca="false">SUM(F61:F66)</f>
        <v>0</v>
      </c>
      <c r="G67" s="33" t="n">
        <f aca="false">SUM(G61:G66)</f>
        <v>0</v>
      </c>
      <c r="H67" s="34" t="n">
        <f aca="false">SUM(H61:H66)</f>
        <v>0</v>
      </c>
      <c r="I67" s="33" t="n">
        <f aca="false">SUM(I61:I66)</f>
        <v>0</v>
      </c>
      <c r="K67" s="35" t="n">
        <f aca="false">IF(AND(('Pro إعدادات'!$C$34="نعم"),IF($T$52=1,'Pro إعدادات'!$G$39,'Pro إعدادات'!$D$39)&gt;0),'Pro ملف الرياضي'!$H$24*IF($T$52=1,'Pro إعدادات'!$G$34,'Pro إعدادات'!$D$34)/IF($T$52=1,'Pro إعدادات'!$G$39,'Pro إعدادات'!$D$39),0)</f>
        <v>14.4</v>
      </c>
      <c r="L67" s="35" t="n">
        <f aca="false">IF(AND(('Pro إعدادات'!$C$34="نعم"),IF($T$52=1,'Pro إعدادات'!$H$39,'Pro إعدادات'!$E$39)&gt;0),'Pro ملف الرياضي'!$I$24*IF($T$52=1,'Pro إعدادات'!$H$34,'Pro إعدادات'!$E$34)/IF($T$52=1,'Pro إعدادات'!$H$39,'Pro إعدادات'!$E$39),0)</f>
        <v>60</v>
      </c>
      <c r="M67" s="35" t="n">
        <f aca="false">IF(AND(('Pro إعدادات'!$C$34="نعم"),IF($T$52=1,'Pro إعدادات'!$I$39,'Pro إعدادات'!$F$39)&gt;0),'Pro ملف الرياضي'!$J$24*IF($T$52=1,'Pro إعدادات'!$I$34,'Pro إعدادات'!$F$34)/IF($T$52=1,'Pro إعدادات'!$I$39,'Pro إعدادات'!$F$39),0)</f>
        <v>3.6</v>
      </c>
      <c r="N67" s="35" t="n">
        <f aca="false">4*K67+4*L67+9*M67</f>
        <v>330</v>
      </c>
      <c r="O67" s="21" t="n">
        <f aca="false">E67-K67</f>
        <v>-14.4</v>
      </c>
      <c r="P67" s="21" t="n">
        <f aca="false">F67-L67</f>
        <v>-60</v>
      </c>
      <c r="Q67" s="21" t="n">
        <f aca="false">G67-M67</f>
        <v>-3.6</v>
      </c>
    </row>
    <row r="68" customFormat="false" ht="15" hidden="false" customHeight="false" outlineLevel="0" collapsed="false">
      <c r="A68" s="14" t="str">
        <f aca="false">'Pro إعدادات'!A35&amp;" ("&amp;'Pro إعدادات'!B35&amp;")"</f>
        <v>الغداء (13:30)</v>
      </c>
      <c r="B68" s="5"/>
      <c r="C68" s="18"/>
      <c r="D68" s="19" t="str">
        <f aca="false">IF(OR($S68="",N($C68)=0),"",$C68/100*N(INDEX('Pro قاعدة الأغذية'!$F$5:$F$604,$S68)))</f>
        <v/>
      </c>
      <c r="E68" s="22" t="str">
        <f aca="false">IF(OR($S68="",N($C68)=0),"",$C68/100*N(INDEX('Pro قاعدة الأغذية'!$G$5:$G$604,$S68)))</f>
        <v/>
      </c>
      <c r="F68" s="22" t="str">
        <f aca="false">IF(OR($S68="",N($C68)=0),"",$C68/100*N(INDEX('Pro قاعدة الأغذية'!$H$5:$H$604,$S68)))</f>
        <v/>
      </c>
      <c r="G68" s="22" t="str">
        <f aca="false">IF(OR($S68="",N($C68)=0),"",$C68/100*N(INDEX('Pro قاعدة الأغذية'!$I$5:$I$604,$S68)))</f>
        <v/>
      </c>
      <c r="H68" s="22" t="str">
        <f aca="false">IF(OR($S68="",N($C68)=0),"",$C68/100*N(INDEX('Pro قاعدة الأغذية'!$J$5:$J$604,$S68)))</f>
        <v/>
      </c>
      <c r="I68" s="19" t="str">
        <f aca="false">IF(OR($S68="",N($C68)=0),"",$C68/100*N(INDEX('Pro قاعدة الأغذية'!$L$5:$L$604,$S68)))</f>
        <v/>
      </c>
      <c r="J68" s="30" t="str">
        <f aca="false">IF($S68="","",INDEX('Pro قاعدة الأغذية'!$E$5:$E$604,$S68))</f>
        <v/>
      </c>
      <c r="S68" s="31" t="str">
        <f aca="false">IF(B68="","",IFERROR(MATCH(B68,'Pro قاعدة الأغذية'!$C$5:$C$604,0),""))</f>
        <v/>
      </c>
    </row>
    <row r="69" customFormat="false" ht="15" hidden="false" customHeight="false" outlineLevel="0" collapsed="false">
      <c r="A69" s="24"/>
      <c r="B69" s="5"/>
      <c r="C69" s="18"/>
      <c r="D69" s="19" t="str">
        <f aca="false">IF(OR($S69="",N($C69)=0),"",$C69/100*N(INDEX('Pro قاعدة الأغذية'!$F$5:$F$604,$S69)))</f>
        <v/>
      </c>
      <c r="E69" s="22" t="str">
        <f aca="false">IF(OR($S69="",N($C69)=0),"",$C69/100*N(INDEX('Pro قاعدة الأغذية'!$G$5:$G$604,$S69)))</f>
        <v/>
      </c>
      <c r="F69" s="22" t="str">
        <f aca="false">IF(OR($S69="",N($C69)=0),"",$C69/100*N(INDEX('Pro قاعدة الأغذية'!$H$5:$H$604,$S69)))</f>
        <v/>
      </c>
      <c r="G69" s="22" t="str">
        <f aca="false">IF(OR($S69="",N($C69)=0),"",$C69/100*N(INDEX('Pro قاعدة الأغذية'!$I$5:$I$604,$S69)))</f>
        <v/>
      </c>
      <c r="H69" s="22" t="str">
        <f aca="false">IF(OR($S69="",N($C69)=0),"",$C69/100*N(INDEX('Pro قاعدة الأغذية'!$J$5:$J$604,$S69)))</f>
        <v/>
      </c>
      <c r="I69" s="19" t="str">
        <f aca="false">IF(OR($S69="",N($C69)=0),"",$C69/100*N(INDEX('Pro قاعدة الأغذية'!$L$5:$L$604,$S69)))</f>
        <v/>
      </c>
      <c r="J69" s="30" t="str">
        <f aca="false">IF($S69="","",INDEX('Pro قاعدة الأغذية'!$E$5:$E$604,$S69))</f>
        <v/>
      </c>
      <c r="S69" s="31" t="str">
        <f aca="false">IF(B69="","",IFERROR(MATCH(B69,'Pro قاعدة الأغذية'!$C$5:$C$604,0),""))</f>
        <v/>
      </c>
    </row>
    <row r="70" customFormat="false" ht="15" hidden="false" customHeight="false" outlineLevel="0" collapsed="false">
      <c r="A70" s="24"/>
      <c r="B70" s="5"/>
      <c r="C70" s="18"/>
      <c r="D70" s="19" t="str">
        <f aca="false">IF(OR($S70="",N($C70)=0),"",$C70/100*N(INDEX('Pro قاعدة الأغذية'!$F$5:$F$604,$S70)))</f>
        <v/>
      </c>
      <c r="E70" s="22" t="str">
        <f aca="false">IF(OR($S70="",N($C70)=0),"",$C70/100*N(INDEX('Pro قاعدة الأغذية'!$G$5:$G$604,$S70)))</f>
        <v/>
      </c>
      <c r="F70" s="22" t="str">
        <f aca="false">IF(OR($S70="",N($C70)=0),"",$C70/100*N(INDEX('Pro قاعدة الأغذية'!$H$5:$H$604,$S70)))</f>
        <v/>
      </c>
      <c r="G70" s="22" t="str">
        <f aca="false">IF(OR($S70="",N($C70)=0),"",$C70/100*N(INDEX('Pro قاعدة الأغذية'!$I$5:$I$604,$S70)))</f>
        <v/>
      </c>
      <c r="H70" s="22" t="str">
        <f aca="false">IF(OR($S70="",N($C70)=0),"",$C70/100*N(INDEX('Pro قاعدة الأغذية'!$J$5:$J$604,$S70)))</f>
        <v/>
      </c>
      <c r="I70" s="19" t="str">
        <f aca="false">IF(OR($S70="",N($C70)=0),"",$C70/100*N(INDEX('Pro قاعدة الأغذية'!$L$5:$L$604,$S70)))</f>
        <v/>
      </c>
      <c r="J70" s="30" t="str">
        <f aca="false">IF($S70="","",INDEX('Pro قاعدة الأغذية'!$E$5:$E$604,$S70))</f>
        <v/>
      </c>
      <c r="S70" s="31" t="str">
        <f aca="false">IF(B70="","",IFERROR(MATCH(B70,'Pro قاعدة الأغذية'!$C$5:$C$604,0),""))</f>
        <v/>
      </c>
    </row>
    <row r="71" customFormat="false" ht="15" hidden="false" customHeight="false" outlineLevel="0" collapsed="false">
      <c r="A71" s="24"/>
      <c r="B71" s="5"/>
      <c r="C71" s="18"/>
      <c r="D71" s="19" t="str">
        <f aca="false">IF(OR($S71="",N($C71)=0),"",$C71/100*N(INDEX('Pro قاعدة الأغذية'!$F$5:$F$604,$S71)))</f>
        <v/>
      </c>
      <c r="E71" s="22" t="str">
        <f aca="false">IF(OR($S71="",N($C71)=0),"",$C71/100*N(INDEX('Pro قاعدة الأغذية'!$G$5:$G$604,$S71)))</f>
        <v/>
      </c>
      <c r="F71" s="22" t="str">
        <f aca="false">IF(OR($S71="",N($C71)=0),"",$C71/100*N(INDEX('Pro قاعدة الأغذية'!$H$5:$H$604,$S71)))</f>
        <v/>
      </c>
      <c r="G71" s="22" t="str">
        <f aca="false">IF(OR($S71="",N($C71)=0),"",$C71/100*N(INDEX('Pro قاعدة الأغذية'!$I$5:$I$604,$S71)))</f>
        <v/>
      </c>
      <c r="H71" s="22" t="str">
        <f aca="false">IF(OR($S71="",N($C71)=0),"",$C71/100*N(INDEX('Pro قاعدة الأغذية'!$J$5:$J$604,$S71)))</f>
        <v/>
      </c>
      <c r="I71" s="19" t="str">
        <f aca="false">IF(OR($S71="",N($C71)=0),"",$C71/100*N(INDEX('Pro قاعدة الأغذية'!$L$5:$L$604,$S71)))</f>
        <v/>
      </c>
      <c r="J71" s="30" t="str">
        <f aca="false">IF($S71="","",INDEX('Pro قاعدة الأغذية'!$E$5:$E$604,$S71))</f>
        <v/>
      </c>
      <c r="S71" s="31" t="str">
        <f aca="false">IF(B71="","",IFERROR(MATCH(B71,'Pro قاعدة الأغذية'!$C$5:$C$604,0),""))</f>
        <v/>
      </c>
    </row>
    <row r="72" customFormat="false" ht="15" hidden="false" customHeight="false" outlineLevel="0" collapsed="false">
      <c r="A72" s="24"/>
      <c r="B72" s="5"/>
      <c r="C72" s="18"/>
      <c r="D72" s="19" t="str">
        <f aca="false">IF(OR($S72="",N($C72)=0),"",$C72/100*N(INDEX('Pro قاعدة الأغذية'!$F$5:$F$604,$S72)))</f>
        <v/>
      </c>
      <c r="E72" s="22" t="str">
        <f aca="false">IF(OR($S72="",N($C72)=0),"",$C72/100*N(INDEX('Pro قاعدة الأغذية'!$G$5:$G$604,$S72)))</f>
        <v/>
      </c>
      <c r="F72" s="22" t="str">
        <f aca="false">IF(OR($S72="",N($C72)=0),"",$C72/100*N(INDEX('Pro قاعدة الأغذية'!$H$5:$H$604,$S72)))</f>
        <v/>
      </c>
      <c r="G72" s="22" t="str">
        <f aca="false">IF(OR($S72="",N($C72)=0),"",$C72/100*N(INDEX('Pro قاعدة الأغذية'!$I$5:$I$604,$S72)))</f>
        <v/>
      </c>
      <c r="H72" s="22" t="str">
        <f aca="false">IF(OR($S72="",N($C72)=0),"",$C72/100*N(INDEX('Pro قاعدة الأغذية'!$J$5:$J$604,$S72)))</f>
        <v/>
      </c>
      <c r="I72" s="19" t="str">
        <f aca="false">IF(OR($S72="",N($C72)=0),"",$C72/100*N(INDEX('Pro قاعدة الأغذية'!$L$5:$L$604,$S72)))</f>
        <v/>
      </c>
      <c r="J72" s="30" t="str">
        <f aca="false">IF($S72="","",INDEX('Pro قاعدة الأغذية'!$E$5:$E$604,$S72))</f>
        <v/>
      </c>
      <c r="S72" s="31" t="str">
        <f aca="false">IF(B72="","",IFERROR(MATCH(B72,'Pro قاعدة الأغذية'!$C$5:$C$604,0),""))</f>
        <v/>
      </c>
    </row>
    <row r="73" customFormat="false" ht="15" hidden="false" customHeight="false" outlineLevel="0" collapsed="false">
      <c r="A73" s="24"/>
      <c r="B73" s="5"/>
      <c r="C73" s="18"/>
      <c r="D73" s="19" t="str">
        <f aca="false">IF(OR($S73="",N($C73)=0),"",$C73/100*N(INDEX('Pro قاعدة الأغذية'!$F$5:$F$604,$S73)))</f>
        <v/>
      </c>
      <c r="E73" s="22" t="str">
        <f aca="false">IF(OR($S73="",N($C73)=0),"",$C73/100*N(INDEX('Pro قاعدة الأغذية'!$G$5:$G$604,$S73)))</f>
        <v/>
      </c>
      <c r="F73" s="22" t="str">
        <f aca="false">IF(OR($S73="",N($C73)=0),"",$C73/100*N(INDEX('Pro قاعدة الأغذية'!$H$5:$H$604,$S73)))</f>
        <v/>
      </c>
      <c r="G73" s="22" t="str">
        <f aca="false">IF(OR($S73="",N($C73)=0),"",$C73/100*N(INDEX('Pro قاعدة الأغذية'!$I$5:$I$604,$S73)))</f>
        <v/>
      </c>
      <c r="H73" s="22" t="str">
        <f aca="false">IF(OR($S73="",N($C73)=0),"",$C73/100*N(INDEX('Pro قاعدة الأغذية'!$J$5:$J$604,$S73)))</f>
        <v/>
      </c>
      <c r="I73" s="19" t="str">
        <f aca="false">IF(OR($S73="",N($C73)=0),"",$C73/100*N(INDEX('Pro قاعدة الأغذية'!$L$5:$L$604,$S73)))</f>
        <v/>
      </c>
      <c r="J73" s="30" t="str">
        <f aca="false">IF($S73="","",INDEX('Pro قاعدة الأغذية'!$E$5:$E$604,$S73))</f>
        <v/>
      </c>
      <c r="S73" s="31" t="str">
        <f aca="false">IF(B73="","",IFERROR(MATCH(B73,'Pro قاعدة الأغذية'!$C$5:$C$604,0),""))</f>
        <v/>
      </c>
    </row>
    <row r="74" customFormat="false" ht="15" hidden="false" customHeight="false" outlineLevel="0" collapsed="false">
      <c r="A74" s="24"/>
      <c r="B74" s="32" t="s">
        <v>91</v>
      </c>
      <c r="C74" s="33" t="n">
        <f aca="false">SUM(C68:C73)</f>
        <v>0</v>
      </c>
      <c r="D74" s="33" t="n">
        <f aca="false">SUM(D68:D73)</f>
        <v>0</v>
      </c>
      <c r="E74" s="33" t="n">
        <f aca="false">SUM(E68:E73)</f>
        <v>0</v>
      </c>
      <c r="F74" s="33" t="n">
        <f aca="false">SUM(F68:F73)</f>
        <v>0</v>
      </c>
      <c r="G74" s="33" t="n">
        <f aca="false">SUM(G68:G73)</f>
        <v>0</v>
      </c>
      <c r="H74" s="34" t="n">
        <f aca="false">SUM(H68:H73)</f>
        <v>0</v>
      </c>
      <c r="I74" s="33" t="n">
        <f aca="false">SUM(I68:I73)</f>
        <v>0</v>
      </c>
      <c r="K74" s="35" t="n">
        <f aca="false">IF(AND(('Pro إعدادات'!$C$35="نعم"),IF($T$52=1,'Pro إعدادات'!$G$39,'Pro إعدادات'!$D$39)&gt;0),'Pro ملف الرياضي'!$H$24*IF($T$52=1,'Pro إعدادات'!$G$35,'Pro إعدادات'!$D$35)/IF($T$52=1,'Pro إعدادات'!$G$39,'Pro إعدادات'!$D$39),0)</f>
        <v>36</v>
      </c>
      <c r="L74" s="35" t="n">
        <f aca="false">IF(AND(('Pro إعدادات'!$C$35="نعم"),IF($T$52=1,'Pro إعدادات'!$H$39,'Pro إعدادات'!$E$39)&gt;0),'Pro ملف الرياضي'!$I$24*IF($T$52=1,'Pro إعدادات'!$H$35,'Pro إعدادات'!$E$35)/IF($T$52=1,'Pro إعدادات'!$H$39,'Pro إعدادات'!$E$39),0)</f>
        <v>100</v>
      </c>
      <c r="M74" s="35" t="n">
        <f aca="false">IF(AND(('Pro إعدادات'!$C$35="نعم"),IF($T$52=1,'Pro إعدادات'!$I$39,'Pro إعدادات'!$F$39)&gt;0),'Pro ملف الرياضي'!$J$24*IF($T$52=1,'Pro إعدادات'!$I$35,'Pro إعدادات'!$F$35)/IF($T$52=1,'Pro إعدادات'!$I$39,'Pro إعدادات'!$F$39),0)</f>
        <v>21.6</v>
      </c>
      <c r="N74" s="35" t="n">
        <f aca="false">4*K74+4*L74+9*M74</f>
        <v>738.4</v>
      </c>
      <c r="O74" s="21" t="n">
        <f aca="false">E74-K74</f>
        <v>-36</v>
      </c>
      <c r="P74" s="21" t="n">
        <f aca="false">F74-L74</f>
        <v>-100</v>
      </c>
      <c r="Q74" s="21" t="n">
        <f aca="false">G74-M74</f>
        <v>-21.6</v>
      </c>
    </row>
    <row r="75" customFormat="false" ht="15" hidden="false" customHeight="false" outlineLevel="0" collapsed="false">
      <c r="A75" s="14" t="str">
        <f aca="false">'Pro إعدادات'!A36&amp;" ("&amp;'Pro إعدادات'!B36&amp;")"</f>
        <v>سناك 2 / بعد التدريب (16:30)</v>
      </c>
      <c r="B75" s="5"/>
      <c r="C75" s="18"/>
      <c r="D75" s="19" t="str">
        <f aca="false">IF(OR($S75="",N($C75)=0),"",$C75/100*N(INDEX('Pro قاعدة الأغذية'!$F$5:$F$604,$S75)))</f>
        <v/>
      </c>
      <c r="E75" s="22" t="str">
        <f aca="false">IF(OR($S75="",N($C75)=0),"",$C75/100*N(INDEX('Pro قاعدة الأغذية'!$G$5:$G$604,$S75)))</f>
        <v/>
      </c>
      <c r="F75" s="22" t="str">
        <f aca="false">IF(OR($S75="",N($C75)=0),"",$C75/100*N(INDEX('Pro قاعدة الأغذية'!$H$5:$H$604,$S75)))</f>
        <v/>
      </c>
      <c r="G75" s="22" t="str">
        <f aca="false">IF(OR($S75="",N($C75)=0),"",$C75/100*N(INDEX('Pro قاعدة الأغذية'!$I$5:$I$604,$S75)))</f>
        <v/>
      </c>
      <c r="H75" s="22" t="str">
        <f aca="false">IF(OR($S75="",N($C75)=0),"",$C75/100*N(INDEX('Pro قاعدة الأغذية'!$J$5:$J$604,$S75)))</f>
        <v/>
      </c>
      <c r="I75" s="19" t="str">
        <f aca="false">IF(OR($S75="",N($C75)=0),"",$C75/100*N(INDEX('Pro قاعدة الأغذية'!$L$5:$L$604,$S75)))</f>
        <v/>
      </c>
      <c r="J75" s="30" t="str">
        <f aca="false">IF($S75="","",INDEX('Pro قاعدة الأغذية'!$E$5:$E$604,$S75))</f>
        <v/>
      </c>
      <c r="S75" s="31" t="str">
        <f aca="false">IF(B75="","",IFERROR(MATCH(B75,'Pro قاعدة الأغذية'!$C$5:$C$604,0),""))</f>
        <v/>
      </c>
    </row>
    <row r="76" customFormat="false" ht="15" hidden="false" customHeight="false" outlineLevel="0" collapsed="false">
      <c r="A76" s="24"/>
      <c r="B76" s="5"/>
      <c r="C76" s="18"/>
      <c r="D76" s="19" t="str">
        <f aca="false">IF(OR($S76="",N($C76)=0),"",$C76/100*N(INDEX('Pro قاعدة الأغذية'!$F$5:$F$604,$S76)))</f>
        <v/>
      </c>
      <c r="E76" s="22" t="str">
        <f aca="false">IF(OR($S76="",N($C76)=0),"",$C76/100*N(INDEX('Pro قاعدة الأغذية'!$G$5:$G$604,$S76)))</f>
        <v/>
      </c>
      <c r="F76" s="22" t="str">
        <f aca="false">IF(OR($S76="",N($C76)=0),"",$C76/100*N(INDEX('Pro قاعدة الأغذية'!$H$5:$H$604,$S76)))</f>
        <v/>
      </c>
      <c r="G76" s="22" t="str">
        <f aca="false">IF(OR($S76="",N($C76)=0),"",$C76/100*N(INDEX('Pro قاعدة الأغذية'!$I$5:$I$604,$S76)))</f>
        <v/>
      </c>
      <c r="H76" s="22" t="str">
        <f aca="false">IF(OR($S76="",N($C76)=0),"",$C76/100*N(INDEX('Pro قاعدة الأغذية'!$J$5:$J$604,$S76)))</f>
        <v/>
      </c>
      <c r="I76" s="19" t="str">
        <f aca="false">IF(OR($S76="",N($C76)=0),"",$C76/100*N(INDEX('Pro قاعدة الأغذية'!$L$5:$L$604,$S76)))</f>
        <v/>
      </c>
      <c r="J76" s="30" t="str">
        <f aca="false">IF($S76="","",INDEX('Pro قاعدة الأغذية'!$E$5:$E$604,$S76))</f>
        <v/>
      </c>
      <c r="S76" s="31" t="str">
        <f aca="false">IF(B76="","",IFERROR(MATCH(B76,'Pro قاعدة الأغذية'!$C$5:$C$604,0),""))</f>
        <v/>
      </c>
    </row>
    <row r="77" customFormat="false" ht="15" hidden="false" customHeight="false" outlineLevel="0" collapsed="false">
      <c r="A77" s="24"/>
      <c r="B77" s="5"/>
      <c r="C77" s="18"/>
      <c r="D77" s="19" t="str">
        <f aca="false">IF(OR($S77="",N($C77)=0),"",$C77/100*N(INDEX('Pro قاعدة الأغذية'!$F$5:$F$604,$S77)))</f>
        <v/>
      </c>
      <c r="E77" s="22" t="str">
        <f aca="false">IF(OR($S77="",N($C77)=0),"",$C77/100*N(INDEX('Pro قاعدة الأغذية'!$G$5:$G$604,$S77)))</f>
        <v/>
      </c>
      <c r="F77" s="22" t="str">
        <f aca="false">IF(OR($S77="",N($C77)=0),"",$C77/100*N(INDEX('Pro قاعدة الأغذية'!$H$5:$H$604,$S77)))</f>
        <v/>
      </c>
      <c r="G77" s="22" t="str">
        <f aca="false">IF(OR($S77="",N($C77)=0),"",$C77/100*N(INDEX('Pro قاعدة الأغذية'!$I$5:$I$604,$S77)))</f>
        <v/>
      </c>
      <c r="H77" s="22" t="str">
        <f aca="false">IF(OR($S77="",N($C77)=0),"",$C77/100*N(INDEX('Pro قاعدة الأغذية'!$J$5:$J$604,$S77)))</f>
        <v/>
      </c>
      <c r="I77" s="19" t="str">
        <f aca="false">IF(OR($S77="",N($C77)=0),"",$C77/100*N(INDEX('Pro قاعدة الأغذية'!$L$5:$L$604,$S77)))</f>
        <v/>
      </c>
      <c r="J77" s="30" t="str">
        <f aca="false">IF($S77="","",INDEX('Pro قاعدة الأغذية'!$E$5:$E$604,$S77))</f>
        <v/>
      </c>
      <c r="S77" s="31" t="str">
        <f aca="false">IF(B77="","",IFERROR(MATCH(B77,'Pro قاعدة الأغذية'!$C$5:$C$604,0),""))</f>
        <v/>
      </c>
    </row>
    <row r="78" customFormat="false" ht="15" hidden="false" customHeight="false" outlineLevel="0" collapsed="false">
      <c r="A78" s="24"/>
      <c r="B78" s="5"/>
      <c r="C78" s="18"/>
      <c r="D78" s="19" t="str">
        <f aca="false">IF(OR($S78="",N($C78)=0),"",$C78/100*N(INDEX('Pro قاعدة الأغذية'!$F$5:$F$604,$S78)))</f>
        <v/>
      </c>
      <c r="E78" s="22" t="str">
        <f aca="false">IF(OR($S78="",N($C78)=0),"",$C78/100*N(INDEX('Pro قاعدة الأغذية'!$G$5:$G$604,$S78)))</f>
        <v/>
      </c>
      <c r="F78" s="22" t="str">
        <f aca="false">IF(OR($S78="",N($C78)=0),"",$C78/100*N(INDEX('Pro قاعدة الأغذية'!$H$5:$H$604,$S78)))</f>
        <v/>
      </c>
      <c r="G78" s="22" t="str">
        <f aca="false">IF(OR($S78="",N($C78)=0),"",$C78/100*N(INDEX('Pro قاعدة الأغذية'!$I$5:$I$604,$S78)))</f>
        <v/>
      </c>
      <c r="H78" s="22" t="str">
        <f aca="false">IF(OR($S78="",N($C78)=0),"",$C78/100*N(INDEX('Pro قاعدة الأغذية'!$J$5:$J$604,$S78)))</f>
        <v/>
      </c>
      <c r="I78" s="19" t="str">
        <f aca="false">IF(OR($S78="",N($C78)=0),"",$C78/100*N(INDEX('Pro قاعدة الأغذية'!$L$5:$L$604,$S78)))</f>
        <v/>
      </c>
      <c r="J78" s="30" t="str">
        <f aca="false">IF($S78="","",INDEX('Pro قاعدة الأغذية'!$E$5:$E$604,$S78))</f>
        <v/>
      </c>
      <c r="S78" s="31" t="str">
        <f aca="false">IF(B78="","",IFERROR(MATCH(B78,'Pro قاعدة الأغذية'!$C$5:$C$604,0),""))</f>
        <v/>
      </c>
    </row>
    <row r="79" customFormat="false" ht="15" hidden="false" customHeight="false" outlineLevel="0" collapsed="false">
      <c r="A79" s="24"/>
      <c r="B79" s="5"/>
      <c r="C79" s="18"/>
      <c r="D79" s="19" t="str">
        <f aca="false">IF(OR($S79="",N($C79)=0),"",$C79/100*N(INDEX('Pro قاعدة الأغذية'!$F$5:$F$604,$S79)))</f>
        <v/>
      </c>
      <c r="E79" s="22" t="str">
        <f aca="false">IF(OR($S79="",N($C79)=0),"",$C79/100*N(INDEX('Pro قاعدة الأغذية'!$G$5:$G$604,$S79)))</f>
        <v/>
      </c>
      <c r="F79" s="22" t="str">
        <f aca="false">IF(OR($S79="",N($C79)=0),"",$C79/100*N(INDEX('Pro قاعدة الأغذية'!$H$5:$H$604,$S79)))</f>
        <v/>
      </c>
      <c r="G79" s="22" t="str">
        <f aca="false">IF(OR($S79="",N($C79)=0),"",$C79/100*N(INDEX('Pro قاعدة الأغذية'!$I$5:$I$604,$S79)))</f>
        <v/>
      </c>
      <c r="H79" s="22" t="str">
        <f aca="false">IF(OR($S79="",N($C79)=0),"",$C79/100*N(INDEX('Pro قاعدة الأغذية'!$J$5:$J$604,$S79)))</f>
        <v/>
      </c>
      <c r="I79" s="19" t="str">
        <f aca="false">IF(OR($S79="",N($C79)=0),"",$C79/100*N(INDEX('Pro قاعدة الأغذية'!$L$5:$L$604,$S79)))</f>
        <v/>
      </c>
      <c r="J79" s="30" t="str">
        <f aca="false">IF($S79="","",INDEX('Pro قاعدة الأغذية'!$E$5:$E$604,$S79))</f>
        <v/>
      </c>
      <c r="S79" s="31" t="str">
        <f aca="false">IF(B79="","",IFERROR(MATCH(B79,'Pro قاعدة الأغذية'!$C$5:$C$604,0),""))</f>
        <v/>
      </c>
    </row>
    <row r="80" customFormat="false" ht="15" hidden="false" customHeight="false" outlineLevel="0" collapsed="false">
      <c r="A80" s="24"/>
      <c r="B80" s="5"/>
      <c r="C80" s="18"/>
      <c r="D80" s="19" t="str">
        <f aca="false">IF(OR($S80="",N($C80)=0),"",$C80/100*N(INDEX('Pro قاعدة الأغذية'!$F$5:$F$604,$S80)))</f>
        <v/>
      </c>
      <c r="E80" s="22" t="str">
        <f aca="false">IF(OR($S80="",N($C80)=0),"",$C80/100*N(INDEX('Pro قاعدة الأغذية'!$G$5:$G$604,$S80)))</f>
        <v/>
      </c>
      <c r="F80" s="22" t="str">
        <f aca="false">IF(OR($S80="",N($C80)=0),"",$C80/100*N(INDEX('Pro قاعدة الأغذية'!$H$5:$H$604,$S80)))</f>
        <v/>
      </c>
      <c r="G80" s="22" t="str">
        <f aca="false">IF(OR($S80="",N($C80)=0),"",$C80/100*N(INDEX('Pro قاعدة الأغذية'!$I$5:$I$604,$S80)))</f>
        <v/>
      </c>
      <c r="H80" s="22" t="str">
        <f aca="false">IF(OR($S80="",N($C80)=0),"",$C80/100*N(INDEX('Pro قاعدة الأغذية'!$J$5:$J$604,$S80)))</f>
        <v/>
      </c>
      <c r="I80" s="19" t="str">
        <f aca="false">IF(OR($S80="",N($C80)=0),"",$C80/100*N(INDEX('Pro قاعدة الأغذية'!$L$5:$L$604,$S80)))</f>
        <v/>
      </c>
      <c r="J80" s="30" t="str">
        <f aca="false">IF($S80="","",INDEX('Pro قاعدة الأغذية'!$E$5:$E$604,$S80))</f>
        <v/>
      </c>
      <c r="S80" s="31" t="str">
        <f aca="false">IF(B80="","",IFERROR(MATCH(B80,'Pro قاعدة الأغذية'!$C$5:$C$604,0),""))</f>
        <v/>
      </c>
    </row>
    <row r="81" customFormat="false" ht="15" hidden="false" customHeight="false" outlineLevel="0" collapsed="false">
      <c r="A81" s="24"/>
      <c r="B81" s="32" t="s">
        <v>91</v>
      </c>
      <c r="C81" s="33" t="n">
        <f aca="false">SUM(C75:C80)</f>
        <v>0</v>
      </c>
      <c r="D81" s="33" t="n">
        <f aca="false">SUM(D75:D80)</f>
        <v>0</v>
      </c>
      <c r="E81" s="33" t="n">
        <f aca="false">SUM(E75:E80)</f>
        <v>0</v>
      </c>
      <c r="F81" s="33" t="n">
        <f aca="false">SUM(F75:F80)</f>
        <v>0</v>
      </c>
      <c r="G81" s="33" t="n">
        <f aca="false">SUM(G75:G80)</f>
        <v>0</v>
      </c>
      <c r="H81" s="34" t="n">
        <f aca="false">SUM(H75:H80)</f>
        <v>0</v>
      </c>
      <c r="I81" s="33" t="n">
        <f aca="false">SUM(I75:I80)</f>
        <v>0</v>
      </c>
      <c r="K81" s="35" t="n">
        <f aca="false">IF(AND(('Pro إعدادات'!$C$36="نعم"),IF($T$52=1,'Pro إعدادات'!$G$39,'Pro إعدادات'!$D$39)&gt;0),'Pro ملف الرياضي'!$H$24*IF($T$52=1,'Pro إعدادات'!$G$36,'Pro إعدادات'!$D$36)/IF($T$52=1,'Pro إعدادات'!$G$39,'Pro إعدادات'!$D$39),0)</f>
        <v>28.8</v>
      </c>
      <c r="L81" s="35" t="n">
        <f aca="false">IF(AND(('Pro إعدادات'!$C$36="نعم"),IF($T$52=1,'Pro إعدادات'!$H$39,'Pro إعدادات'!$E$39)&gt;0),'Pro ملف الرياضي'!$I$24*IF($T$52=1,'Pro إعدادات'!$H$36,'Pro إعدادات'!$E$36)/IF($T$52=1,'Pro إعدادات'!$H$39,'Pro إعدادات'!$E$39),0)</f>
        <v>100</v>
      </c>
      <c r="M81" s="35" t="n">
        <f aca="false">IF(AND(('Pro إعدادات'!$C$36="نعم"),IF($T$52=1,'Pro إعدادات'!$I$39,'Pro إعدادات'!$F$39)&gt;0),'Pro ملف الرياضي'!$J$24*IF($T$52=1,'Pro إعدادات'!$I$36,'Pro إعدادات'!$F$36)/IF($T$52=1,'Pro إعدادات'!$I$39,'Pro إعدادات'!$F$39),0)</f>
        <v>7.2</v>
      </c>
      <c r="N81" s="35" t="n">
        <f aca="false">4*K81+4*L81+9*M81</f>
        <v>580</v>
      </c>
      <c r="O81" s="21" t="n">
        <f aca="false">E81-K81</f>
        <v>-28.8</v>
      </c>
      <c r="P81" s="21" t="n">
        <f aca="false">F81-L81</f>
        <v>-100</v>
      </c>
      <c r="Q81" s="21" t="n">
        <f aca="false">G81-M81</f>
        <v>-7.2</v>
      </c>
    </row>
    <row r="82" customFormat="false" ht="15" hidden="false" customHeight="false" outlineLevel="0" collapsed="false">
      <c r="A82" s="14" t="str">
        <f aca="false">'Pro إعدادات'!A37&amp;" ("&amp;'Pro إعدادات'!B37&amp;")"</f>
        <v>العشاء (20:00)</v>
      </c>
      <c r="B82" s="5"/>
      <c r="C82" s="18"/>
      <c r="D82" s="19" t="str">
        <f aca="false">IF(OR($S82="",N($C82)=0),"",$C82/100*N(INDEX('Pro قاعدة الأغذية'!$F$5:$F$604,$S82)))</f>
        <v/>
      </c>
      <c r="E82" s="22" t="str">
        <f aca="false">IF(OR($S82="",N($C82)=0),"",$C82/100*N(INDEX('Pro قاعدة الأغذية'!$G$5:$G$604,$S82)))</f>
        <v/>
      </c>
      <c r="F82" s="22" t="str">
        <f aca="false">IF(OR($S82="",N($C82)=0),"",$C82/100*N(INDEX('Pro قاعدة الأغذية'!$H$5:$H$604,$S82)))</f>
        <v/>
      </c>
      <c r="G82" s="22" t="str">
        <f aca="false">IF(OR($S82="",N($C82)=0),"",$C82/100*N(INDEX('Pro قاعدة الأغذية'!$I$5:$I$604,$S82)))</f>
        <v/>
      </c>
      <c r="H82" s="22" t="str">
        <f aca="false">IF(OR($S82="",N($C82)=0),"",$C82/100*N(INDEX('Pro قاعدة الأغذية'!$J$5:$J$604,$S82)))</f>
        <v/>
      </c>
      <c r="I82" s="19" t="str">
        <f aca="false">IF(OR($S82="",N($C82)=0),"",$C82/100*N(INDEX('Pro قاعدة الأغذية'!$L$5:$L$604,$S82)))</f>
        <v/>
      </c>
      <c r="J82" s="30" t="str">
        <f aca="false">IF($S82="","",INDEX('Pro قاعدة الأغذية'!$E$5:$E$604,$S82))</f>
        <v/>
      </c>
      <c r="S82" s="31" t="str">
        <f aca="false">IF(B82="","",IFERROR(MATCH(B82,'Pro قاعدة الأغذية'!$C$5:$C$604,0),""))</f>
        <v/>
      </c>
    </row>
    <row r="83" customFormat="false" ht="15" hidden="false" customHeight="false" outlineLevel="0" collapsed="false">
      <c r="A83" s="24"/>
      <c r="B83" s="5"/>
      <c r="C83" s="18"/>
      <c r="D83" s="19" t="str">
        <f aca="false">IF(OR($S83="",N($C83)=0),"",$C83/100*N(INDEX('Pro قاعدة الأغذية'!$F$5:$F$604,$S83)))</f>
        <v/>
      </c>
      <c r="E83" s="22" t="str">
        <f aca="false">IF(OR($S83="",N($C83)=0),"",$C83/100*N(INDEX('Pro قاعدة الأغذية'!$G$5:$G$604,$S83)))</f>
        <v/>
      </c>
      <c r="F83" s="22" t="str">
        <f aca="false">IF(OR($S83="",N($C83)=0),"",$C83/100*N(INDEX('Pro قاعدة الأغذية'!$H$5:$H$604,$S83)))</f>
        <v/>
      </c>
      <c r="G83" s="22" t="str">
        <f aca="false">IF(OR($S83="",N($C83)=0),"",$C83/100*N(INDEX('Pro قاعدة الأغذية'!$I$5:$I$604,$S83)))</f>
        <v/>
      </c>
      <c r="H83" s="22" t="str">
        <f aca="false">IF(OR($S83="",N($C83)=0),"",$C83/100*N(INDEX('Pro قاعدة الأغذية'!$J$5:$J$604,$S83)))</f>
        <v/>
      </c>
      <c r="I83" s="19" t="str">
        <f aca="false">IF(OR($S83="",N($C83)=0),"",$C83/100*N(INDEX('Pro قاعدة الأغذية'!$L$5:$L$604,$S83)))</f>
        <v/>
      </c>
      <c r="J83" s="30" t="str">
        <f aca="false">IF($S83="","",INDEX('Pro قاعدة الأغذية'!$E$5:$E$604,$S83))</f>
        <v/>
      </c>
      <c r="S83" s="31" t="str">
        <f aca="false">IF(B83="","",IFERROR(MATCH(B83,'Pro قاعدة الأغذية'!$C$5:$C$604,0),""))</f>
        <v/>
      </c>
    </row>
    <row r="84" customFormat="false" ht="15" hidden="false" customHeight="false" outlineLevel="0" collapsed="false">
      <c r="A84" s="24"/>
      <c r="B84" s="5"/>
      <c r="C84" s="18"/>
      <c r="D84" s="19" t="str">
        <f aca="false">IF(OR($S84="",N($C84)=0),"",$C84/100*N(INDEX('Pro قاعدة الأغذية'!$F$5:$F$604,$S84)))</f>
        <v/>
      </c>
      <c r="E84" s="22" t="str">
        <f aca="false">IF(OR($S84="",N($C84)=0),"",$C84/100*N(INDEX('Pro قاعدة الأغذية'!$G$5:$G$604,$S84)))</f>
        <v/>
      </c>
      <c r="F84" s="22" t="str">
        <f aca="false">IF(OR($S84="",N($C84)=0),"",$C84/100*N(INDEX('Pro قاعدة الأغذية'!$H$5:$H$604,$S84)))</f>
        <v/>
      </c>
      <c r="G84" s="22" t="str">
        <f aca="false">IF(OR($S84="",N($C84)=0),"",$C84/100*N(INDEX('Pro قاعدة الأغذية'!$I$5:$I$604,$S84)))</f>
        <v/>
      </c>
      <c r="H84" s="22" t="str">
        <f aca="false">IF(OR($S84="",N($C84)=0),"",$C84/100*N(INDEX('Pro قاعدة الأغذية'!$J$5:$J$604,$S84)))</f>
        <v/>
      </c>
      <c r="I84" s="19" t="str">
        <f aca="false">IF(OR($S84="",N($C84)=0),"",$C84/100*N(INDEX('Pro قاعدة الأغذية'!$L$5:$L$604,$S84)))</f>
        <v/>
      </c>
      <c r="J84" s="30" t="str">
        <f aca="false">IF($S84="","",INDEX('Pro قاعدة الأغذية'!$E$5:$E$604,$S84))</f>
        <v/>
      </c>
      <c r="S84" s="31" t="str">
        <f aca="false">IF(B84="","",IFERROR(MATCH(B84,'Pro قاعدة الأغذية'!$C$5:$C$604,0),""))</f>
        <v/>
      </c>
    </row>
    <row r="85" customFormat="false" ht="15" hidden="false" customHeight="false" outlineLevel="0" collapsed="false">
      <c r="A85" s="24"/>
      <c r="B85" s="5"/>
      <c r="C85" s="18"/>
      <c r="D85" s="19" t="str">
        <f aca="false">IF(OR($S85="",N($C85)=0),"",$C85/100*N(INDEX('Pro قاعدة الأغذية'!$F$5:$F$604,$S85)))</f>
        <v/>
      </c>
      <c r="E85" s="22" t="str">
        <f aca="false">IF(OR($S85="",N($C85)=0),"",$C85/100*N(INDEX('Pro قاعدة الأغذية'!$G$5:$G$604,$S85)))</f>
        <v/>
      </c>
      <c r="F85" s="22" t="str">
        <f aca="false">IF(OR($S85="",N($C85)=0),"",$C85/100*N(INDEX('Pro قاعدة الأغذية'!$H$5:$H$604,$S85)))</f>
        <v/>
      </c>
      <c r="G85" s="22" t="str">
        <f aca="false">IF(OR($S85="",N($C85)=0),"",$C85/100*N(INDEX('Pro قاعدة الأغذية'!$I$5:$I$604,$S85)))</f>
        <v/>
      </c>
      <c r="H85" s="22" t="str">
        <f aca="false">IF(OR($S85="",N($C85)=0),"",$C85/100*N(INDEX('Pro قاعدة الأغذية'!$J$5:$J$604,$S85)))</f>
        <v/>
      </c>
      <c r="I85" s="19" t="str">
        <f aca="false">IF(OR($S85="",N($C85)=0),"",$C85/100*N(INDEX('Pro قاعدة الأغذية'!$L$5:$L$604,$S85)))</f>
        <v/>
      </c>
      <c r="J85" s="30" t="str">
        <f aca="false">IF($S85="","",INDEX('Pro قاعدة الأغذية'!$E$5:$E$604,$S85))</f>
        <v/>
      </c>
      <c r="S85" s="31" t="str">
        <f aca="false">IF(B85="","",IFERROR(MATCH(B85,'Pro قاعدة الأغذية'!$C$5:$C$604,0),""))</f>
        <v/>
      </c>
    </row>
    <row r="86" customFormat="false" ht="15" hidden="false" customHeight="false" outlineLevel="0" collapsed="false">
      <c r="A86" s="24"/>
      <c r="B86" s="5"/>
      <c r="C86" s="18"/>
      <c r="D86" s="19" t="str">
        <f aca="false">IF(OR($S86="",N($C86)=0),"",$C86/100*N(INDEX('Pro قاعدة الأغذية'!$F$5:$F$604,$S86)))</f>
        <v/>
      </c>
      <c r="E86" s="22" t="str">
        <f aca="false">IF(OR($S86="",N($C86)=0),"",$C86/100*N(INDEX('Pro قاعدة الأغذية'!$G$5:$G$604,$S86)))</f>
        <v/>
      </c>
      <c r="F86" s="22" t="str">
        <f aca="false">IF(OR($S86="",N($C86)=0),"",$C86/100*N(INDEX('Pro قاعدة الأغذية'!$H$5:$H$604,$S86)))</f>
        <v/>
      </c>
      <c r="G86" s="22" t="str">
        <f aca="false">IF(OR($S86="",N($C86)=0),"",$C86/100*N(INDEX('Pro قاعدة الأغذية'!$I$5:$I$604,$S86)))</f>
        <v/>
      </c>
      <c r="H86" s="22" t="str">
        <f aca="false">IF(OR($S86="",N($C86)=0),"",$C86/100*N(INDEX('Pro قاعدة الأغذية'!$J$5:$J$604,$S86)))</f>
        <v/>
      </c>
      <c r="I86" s="19" t="str">
        <f aca="false">IF(OR($S86="",N($C86)=0),"",$C86/100*N(INDEX('Pro قاعدة الأغذية'!$L$5:$L$604,$S86)))</f>
        <v/>
      </c>
      <c r="J86" s="30" t="str">
        <f aca="false">IF($S86="","",INDEX('Pro قاعدة الأغذية'!$E$5:$E$604,$S86))</f>
        <v/>
      </c>
      <c r="S86" s="31" t="str">
        <f aca="false">IF(B86="","",IFERROR(MATCH(B86,'Pro قاعدة الأغذية'!$C$5:$C$604,0),""))</f>
        <v/>
      </c>
    </row>
    <row r="87" customFormat="false" ht="15" hidden="false" customHeight="false" outlineLevel="0" collapsed="false">
      <c r="A87" s="24"/>
      <c r="B87" s="5"/>
      <c r="C87" s="18"/>
      <c r="D87" s="19" t="str">
        <f aca="false">IF(OR($S87="",N($C87)=0),"",$C87/100*N(INDEX('Pro قاعدة الأغذية'!$F$5:$F$604,$S87)))</f>
        <v/>
      </c>
      <c r="E87" s="22" t="str">
        <f aca="false">IF(OR($S87="",N($C87)=0),"",$C87/100*N(INDEX('Pro قاعدة الأغذية'!$G$5:$G$604,$S87)))</f>
        <v/>
      </c>
      <c r="F87" s="22" t="str">
        <f aca="false">IF(OR($S87="",N($C87)=0),"",$C87/100*N(INDEX('Pro قاعدة الأغذية'!$H$5:$H$604,$S87)))</f>
        <v/>
      </c>
      <c r="G87" s="22" t="str">
        <f aca="false">IF(OR($S87="",N($C87)=0),"",$C87/100*N(INDEX('Pro قاعدة الأغذية'!$I$5:$I$604,$S87)))</f>
        <v/>
      </c>
      <c r="H87" s="22" t="str">
        <f aca="false">IF(OR($S87="",N($C87)=0),"",$C87/100*N(INDEX('Pro قاعدة الأغذية'!$J$5:$J$604,$S87)))</f>
        <v/>
      </c>
      <c r="I87" s="19" t="str">
        <f aca="false">IF(OR($S87="",N($C87)=0),"",$C87/100*N(INDEX('Pro قاعدة الأغذية'!$L$5:$L$604,$S87)))</f>
        <v/>
      </c>
      <c r="J87" s="30" t="str">
        <f aca="false">IF($S87="","",INDEX('Pro قاعدة الأغذية'!$E$5:$E$604,$S87))</f>
        <v/>
      </c>
      <c r="S87" s="31" t="str">
        <f aca="false">IF(B87="","",IFERROR(MATCH(B87,'Pro قاعدة الأغذية'!$C$5:$C$604,0),""))</f>
        <v/>
      </c>
    </row>
    <row r="88" customFormat="false" ht="15" hidden="false" customHeight="false" outlineLevel="0" collapsed="false">
      <c r="A88" s="24"/>
      <c r="B88" s="32" t="s">
        <v>91</v>
      </c>
      <c r="C88" s="33" t="n">
        <f aca="false">SUM(C82:C87)</f>
        <v>0</v>
      </c>
      <c r="D88" s="33" t="n">
        <f aca="false">SUM(D82:D87)</f>
        <v>0</v>
      </c>
      <c r="E88" s="33" t="n">
        <f aca="false">SUM(E82:E87)</f>
        <v>0</v>
      </c>
      <c r="F88" s="33" t="n">
        <f aca="false">SUM(F82:F87)</f>
        <v>0</v>
      </c>
      <c r="G88" s="33" t="n">
        <f aca="false">SUM(G82:G87)</f>
        <v>0</v>
      </c>
      <c r="H88" s="34" t="n">
        <f aca="false">SUM(H82:H87)</f>
        <v>0</v>
      </c>
      <c r="I88" s="33" t="n">
        <f aca="false">SUM(I82:I87)</f>
        <v>0</v>
      </c>
      <c r="K88" s="35" t="n">
        <f aca="false">IF(AND(('Pro إعدادات'!$C$37="نعم"),IF($T$52=1,'Pro إعدادات'!$G$39,'Pro إعدادات'!$D$39)&gt;0),'Pro ملف الرياضي'!$H$24*IF($T$52=1,'Pro إعدادات'!$G$37,'Pro إعدادات'!$D$37)/IF($T$52=1,'Pro إعدادات'!$G$39,'Pro إعدادات'!$D$39),0)</f>
        <v>36</v>
      </c>
      <c r="L88" s="35" t="n">
        <f aca="false">IF(AND(('Pro إعدادات'!$C$37="نعم"),IF($T$52=1,'Pro إعدادات'!$H$39,'Pro إعدادات'!$E$39)&gt;0),'Pro ملف الرياضي'!$I$24*IF($T$52=1,'Pro إعدادات'!$H$37,'Pro إعدادات'!$E$37)/IF($T$52=1,'Pro إعدادات'!$H$39,'Pro إعدادات'!$E$39),0)</f>
        <v>60</v>
      </c>
      <c r="M88" s="35" t="n">
        <f aca="false">IF(AND(('Pro إعدادات'!$C$37="نعم"),IF($T$52=1,'Pro إعدادات'!$I$39,'Pro إعدادات'!$F$39)&gt;0),'Pro ملف الرياضي'!$J$24*IF($T$52=1,'Pro إعدادات'!$I$37,'Pro إعدادات'!$F$37)/IF($T$52=1,'Pro إعدادات'!$I$39,'Pro إعدادات'!$F$39),0)</f>
        <v>21.6</v>
      </c>
      <c r="N88" s="35" t="n">
        <f aca="false">4*K88+4*L88+9*M88</f>
        <v>578.4</v>
      </c>
      <c r="O88" s="21" t="n">
        <f aca="false">E88-K88</f>
        <v>-36</v>
      </c>
      <c r="P88" s="21" t="n">
        <f aca="false">F88-L88</f>
        <v>-60</v>
      </c>
      <c r="Q88" s="21" t="n">
        <f aca="false">G88-M88</f>
        <v>-21.6</v>
      </c>
    </row>
    <row r="89" customFormat="false" ht="15" hidden="false" customHeight="false" outlineLevel="0" collapsed="false">
      <c r="A89" s="14" t="str">
        <f aca="false">'Pro إعدادات'!A38&amp;" ("&amp;'Pro إعدادات'!B38&amp;")"</f>
        <v>وجبة ليلية (22:30)</v>
      </c>
      <c r="B89" s="5"/>
      <c r="C89" s="18"/>
      <c r="D89" s="19" t="str">
        <f aca="false">IF(OR($S89="",N($C89)=0),"",$C89/100*N(INDEX('Pro قاعدة الأغذية'!$F$5:$F$604,$S89)))</f>
        <v/>
      </c>
      <c r="E89" s="22" t="str">
        <f aca="false">IF(OR($S89="",N($C89)=0),"",$C89/100*N(INDEX('Pro قاعدة الأغذية'!$G$5:$G$604,$S89)))</f>
        <v/>
      </c>
      <c r="F89" s="22" t="str">
        <f aca="false">IF(OR($S89="",N($C89)=0),"",$C89/100*N(INDEX('Pro قاعدة الأغذية'!$H$5:$H$604,$S89)))</f>
        <v/>
      </c>
      <c r="G89" s="22" t="str">
        <f aca="false">IF(OR($S89="",N($C89)=0),"",$C89/100*N(INDEX('Pro قاعدة الأغذية'!$I$5:$I$604,$S89)))</f>
        <v/>
      </c>
      <c r="H89" s="22" t="str">
        <f aca="false">IF(OR($S89="",N($C89)=0),"",$C89/100*N(INDEX('Pro قاعدة الأغذية'!$J$5:$J$604,$S89)))</f>
        <v/>
      </c>
      <c r="I89" s="19" t="str">
        <f aca="false">IF(OR($S89="",N($C89)=0),"",$C89/100*N(INDEX('Pro قاعدة الأغذية'!$L$5:$L$604,$S89)))</f>
        <v/>
      </c>
      <c r="J89" s="30" t="str">
        <f aca="false">IF($S89="","",INDEX('Pro قاعدة الأغذية'!$E$5:$E$604,$S89))</f>
        <v/>
      </c>
      <c r="S89" s="31" t="str">
        <f aca="false">IF(B89="","",IFERROR(MATCH(B89,'Pro قاعدة الأغذية'!$C$5:$C$604,0),""))</f>
        <v/>
      </c>
    </row>
    <row r="90" customFormat="false" ht="15" hidden="false" customHeight="false" outlineLevel="0" collapsed="false">
      <c r="A90" s="24"/>
      <c r="B90" s="5"/>
      <c r="C90" s="18"/>
      <c r="D90" s="19" t="str">
        <f aca="false">IF(OR($S90="",N($C90)=0),"",$C90/100*N(INDEX('Pro قاعدة الأغذية'!$F$5:$F$604,$S90)))</f>
        <v/>
      </c>
      <c r="E90" s="22" t="str">
        <f aca="false">IF(OR($S90="",N($C90)=0),"",$C90/100*N(INDEX('Pro قاعدة الأغذية'!$G$5:$G$604,$S90)))</f>
        <v/>
      </c>
      <c r="F90" s="22" t="str">
        <f aca="false">IF(OR($S90="",N($C90)=0),"",$C90/100*N(INDEX('Pro قاعدة الأغذية'!$H$5:$H$604,$S90)))</f>
        <v/>
      </c>
      <c r="G90" s="22" t="str">
        <f aca="false">IF(OR($S90="",N($C90)=0),"",$C90/100*N(INDEX('Pro قاعدة الأغذية'!$I$5:$I$604,$S90)))</f>
        <v/>
      </c>
      <c r="H90" s="22" t="str">
        <f aca="false">IF(OR($S90="",N($C90)=0),"",$C90/100*N(INDEX('Pro قاعدة الأغذية'!$J$5:$J$604,$S90)))</f>
        <v/>
      </c>
      <c r="I90" s="19" t="str">
        <f aca="false">IF(OR($S90="",N($C90)=0),"",$C90/100*N(INDEX('Pro قاعدة الأغذية'!$L$5:$L$604,$S90)))</f>
        <v/>
      </c>
      <c r="J90" s="30" t="str">
        <f aca="false">IF($S90="","",INDEX('Pro قاعدة الأغذية'!$E$5:$E$604,$S90))</f>
        <v/>
      </c>
      <c r="S90" s="31" t="str">
        <f aca="false">IF(B90="","",IFERROR(MATCH(B90,'Pro قاعدة الأغذية'!$C$5:$C$604,0),""))</f>
        <v/>
      </c>
    </row>
    <row r="91" customFormat="false" ht="15" hidden="false" customHeight="false" outlineLevel="0" collapsed="false">
      <c r="A91" s="24"/>
      <c r="B91" s="5"/>
      <c r="C91" s="18"/>
      <c r="D91" s="19" t="str">
        <f aca="false">IF(OR($S91="",N($C91)=0),"",$C91/100*N(INDEX('Pro قاعدة الأغذية'!$F$5:$F$604,$S91)))</f>
        <v/>
      </c>
      <c r="E91" s="22" t="str">
        <f aca="false">IF(OR($S91="",N($C91)=0),"",$C91/100*N(INDEX('Pro قاعدة الأغذية'!$G$5:$G$604,$S91)))</f>
        <v/>
      </c>
      <c r="F91" s="22" t="str">
        <f aca="false">IF(OR($S91="",N($C91)=0),"",$C91/100*N(INDEX('Pro قاعدة الأغذية'!$H$5:$H$604,$S91)))</f>
        <v/>
      </c>
      <c r="G91" s="22" t="str">
        <f aca="false">IF(OR($S91="",N($C91)=0),"",$C91/100*N(INDEX('Pro قاعدة الأغذية'!$I$5:$I$604,$S91)))</f>
        <v/>
      </c>
      <c r="H91" s="22" t="str">
        <f aca="false">IF(OR($S91="",N($C91)=0),"",$C91/100*N(INDEX('Pro قاعدة الأغذية'!$J$5:$J$604,$S91)))</f>
        <v/>
      </c>
      <c r="I91" s="19" t="str">
        <f aca="false">IF(OR($S91="",N($C91)=0),"",$C91/100*N(INDEX('Pro قاعدة الأغذية'!$L$5:$L$604,$S91)))</f>
        <v/>
      </c>
      <c r="J91" s="30" t="str">
        <f aca="false">IF($S91="","",INDEX('Pro قاعدة الأغذية'!$E$5:$E$604,$S91))</f>
        <v/>
      </c>
      <c r="S91" s="31" t="str">
        <f aca="false">IF(B91="","",IFERROR(MATCH(B91,'Pro قاعدة الأغذية'!$C$5:$C$604,0),""))</f>
        <v/>
      </c>
    </row>
    <row r="92" customFormat="false" ht="15" hidden="false" customHeight="false" outlineLevel="0" collapsed="false">
      <c r="A92" s="24"/>
      <c r="B92" s="5"/>
      <c r="C92" s="18"/>
      <c r="D92" s="19" t="str">
        <f aca="false">IF(OR($S92="",N($C92)=0),"",$C92/100*N(INDEX('Pro قاعدة الأغذية'!$F$5:$F$604,$S92)))</f>
        <v/>
      </c>
      <c r="E92" s="22" t="str">
        <f aca="false">IF(OR($S92="",N($C92)=0),"",$C92/100*N(INDEX('Pro قاعدة الأغذية'!$G$5:$G$604,$S92)))</f>
        <v/>
      </c>
      <c r="F92" s="22" t="str">
        <f aca="false">IF(OR($S92="",N($C92)=0),"",$C92/100*N(INDEX('Pro قاعدة الأغذية'!$H$5:$H$604,$S92)))</f>
        <v/>
      </c>
      <c r="G92" s="22" t="str">
        <f aca="false">IF(OR($S92="",N($C92)=0),"",$C92/100*N(INDEX('Pro قاعدة الأغذية'!$I$5:$I$604,$S92)))</f>
        <v/>
      </c>
      <c r="H92" s="22" t="str">
        <f aca="false">IF(OR($S92="",N($C92)=0),"",$C92/100*N(INDEX('Pro قاعدة الأغذية'!$J$5:$J$604,$S92)))</f>
        <v/>
      </c>
      <c r="I92" s="19" t="str">
        <f aca="false">IF(OR($S92="",N($C92)=0),"",$C92/100*N(INDEX('Pro قاعدة الأغذية'!$L$5:$L$604,$S92)))</f>
        <v/>
      </c>
      <c r="J92" s="30" t="str">
        <f aca="false">IF($S92="","",INDEX('Pro قاعدة الأغذية'!$E$5:$E$604,$S92))</f>
        <v/>
      </c>
      <c r="S92" s="31" t="str">
        <f aca="false">IF(B92="","",IFERROR(MATCH(B92,'Pro قاعدة الأغذية'!$C$5:$C$604,0),""))</f>
        <v/>
      </c>
    </row>
    <row r="93" customFormat="false" ht="15" hidden="false" customHeight="false" outlineLevel="0" collapsed="false">
      <c r="A93" s="24"/>
      <c r="B93" s="5"/>
      <c r="C93" s="18"/>
      <c r="D93" s="19" t="str">
        <f aca="false">IF(OR($S93="",N($C93)=0),"",$C93/100*N(INDEX('Pro قاعدة الأغذية'!$F$5:$F$604,$S93)))</f>
        <v/>
      </c>
      <c r="E93" s="22" t="str">
        <f aca="false">IF(OR($S93="",N($C93)=0),"",$C93/100*N(INDEX('Pro قاعدة الأغذية'!$G$5:$G$604,$S93)))</f>
        <v/>
      </c>
      <c r="F93" s="22" t="str">
        <f aca="false">IF(OR($S93="",N($C93)=0),"",$C93/100*N(INDEX('Pro قاعدة الأغذية'!$H$5:$H$604,$S93)))</f>
        <v/>
      </c>
      <c r="G93" s="22" t="str">
        <f aca="false">IF(OR($S93="",N($C93)=0),"",$C93/100*N(INDEX('Pro قاعدة الأغذية'!$I$5:$I$604,$S93)))</f>
        <v/>
      </c>
      <c r="H93" s="22" t="str">
        <f aca="false">IF(OR($S93="",N($C93)=0),"",$C93/100*N(INDEX('Pro قاعدة الأغذية'!$J$5:$J$604,$S93)))</f>
        <v/>
      </c>
      <c r="I93" s="19" t="str">
        <f aca="false">IF(OR($S93="",N($C93)=0),"",$C93/100*N(INDEX('Pro قاعدة الأغذية'!$L$5:$L$604,$S93)))</f>
        <v/>
      </c>
      <c r="J93" s="30" t="str">
        <f aca="false">IF($S93="","",INDEX('Pro قاعدة الأغذية'!$E$5:$E$604,$S93))</f>
        <v/>
      </c>
      <c r="S93" s="31" t="str">
        <f aca="false">IF(B93="","",IFERROR(MATCH(B93,'Pro قاعدة الأغذية'!$C$5:$C$604,0),""))</f>
        <v/>
      </c>
    </row>
    <row r="94" customFormat="false" ht="15" hidden="false" customHeight="false" outlineLevel="0" collapsed="false">
      <c r="A94" s="24"/>
      <c r="B94" s="5"/>
      <c r="C94" s="18"/>
      <c r="D94" s="19" t="str">
        <f aca="false">IF(OR($S94="",N($C94)=0),"",$C94/100*N(INDEX('Pro قاعدة الأغذية'!$F$5:$F$604,$S94)))</f>
        <v/>
      </c>
      <c r="E94" s="22" t="str">
        <f aca="false">IF(OR($S94="",N($C94)=0),"",$C94/100*N(INDEX('Pro قاعدة الأغذية'!$G$5:$G$604,$S94)))</f>
        <v/>
      </c>
      <c r="F94" s="22" t="str">
        <f aca="false">IF(OR($S94="",N($C94)=0),"",$C94/100*N(INDEX('Pro قاعدة الأغذية'!$H$5:$H$604,$S94)))</f>
        <v/>
      </c>
      <c r="G94" s="22" t="str">
        <f aca="false">IF(OR($S94="",N($C94)=0),"",$C94/100*N(INDEX('Pro قاعدة الأغذية'!$I$5:$I$604,$S94)))</f>
        <v/>
      </c>
      <c r="H94" s="22" t="str">
        <f aca="false">IF(OR($S94="",N($C94)=0),"",$C94/100*N(INDEX('Pro قاعدة الأغذية'!$J$5:$J$604,$S94)))</f>
        <v/>
      </c>
      <c r="I94" s="19" t="str">
        <f aca="false">IF(OR($S94="",N($C94)=0),"",$C94/100*N(INDEX('Pro قاعدة الأغذية'!$L$5:$L$604,$S94)))</f>
        <v/>
      </c>
      <c r="J94" s="30" t="str">
        <f aca="false">IF($S94="","",INDEX('Pro قاعدة الأغذية'!$E$5:$E$604,$S94))</f>
        <v/>
      </c>
      <c r="S94" s="31" t="str">
        <f aca="false">IF(B94="","",IFERROR(MATCH(B94,'Pro قاعدة الأغذية'!$C$5:$C$604,0),""))</f>
        <v/>
      </c>
    </row>
    <row r="95" customFormat="false" ht="15" hidden="false" customHeight="false" outlineLevel="0" collapsed="false">
      <c r="A95" s="24"/>
      <c r="B95" s="32" t="s">
        <v>91</v>
      </c>
      <c r="C95" s="33" t="n">
        <f aca="false">SUM(C89:C94)</f>
        <v>0</v>
      </c>
      <c r="D95" s="33" t="n">
        <f aca="false">SUM(D89:D94)</f>
        <v>0</v>
      </c>
      <c r="E95" s="33" t="n">
        <f aca="false">SUM(E89:E94)</f>
        <v>0</v>
      </c>
      <c r="F95" s="33" t="n">
        <f aca="false">SUM(F89:F94)</f>
        <v>0</v>
      </c>
      <c r="G95" s="33" t="n">
        <f aca="false">SUM(G89:G94)</f>
        <v>0</v>
      </c>
      <c r="H95" s="34" t="n">
        <f aca="false">SUM(H89:H94)</f>
        <v>0</v>
      </c>
      <c r="I95" s="33" t="n">
        <f aca="false">SUM(I89:I94)</f>
        <v>0</v>
      </c>
      <c r="K95" s="35" t="n">
        <f aca="false">IF(AND(('Pro إعدادات'!$C$38="نعم"),IF($T$52=1,'Pro إعدادات'!$G$39,'Pro إعدادات'!$D$39)&gt;0),'Pro ملف الرياضي'!$H$24*IF($T$52=1,'Pro إعدادات'!$G$38,'Pro إعدادات'!$D$38)/IF($T$52=1,'Pro إعدادات'!$G$39,'Pro إعدادات'!$D$39),0)</f>
        <v>0</v>
      </c>
      <c r="L95" s="35" t="n">
        <f aca="false">IF(AND(('Pro إعدادات'!$C$38="نعم"),IF($T$52=1,'Pro إعدادات'!$H$39,'Pro إعدادات'!$E$39)&gt;0),'Pro ملف الرياضي'!$I$24*IF($T$52=1,'Pro إعدادات'!$H$38,'Pro إعدادات'!$E$38)/IF($T$52=1,'Pro إعدادات'!$H$39,'Pro إعدادات'!$E$39),0)</f>
        <v>0</v>
      </c>
      <c r="M95" s="35" t="n">
        <f aca="false">IF(AND(('Pro إعدادات'!$C$38="نعم"),IF($T$52=1,'Pro إعدادات'!$I$39,'Pro إعدادات'!$F$39)&gt;0),'Pro ملف الرياضي'!$J$24*IF($T$52=1,'Pro إعدادات'!$I$38,'Pro إعدادات'!$F$38)/IF($T$52=1,'Pro إعدادات'!$I$39,'Pro إعدادات'!$F$39),0)</f>
        <v>0</v>
      </c>
      <c r="N95" s="35" t="n">
        <f aca="false">4*K95+4*L95+9*M95</f>
        <v>0</v>
      </c>
      <c r="O95" s="21" t="n">
        <f aca="false">E95-K95</f>
        <v>0</v>
      </c>
      <c r="P95" s="21" t="n">
        <f aca="false">F95-L95</f>
        <v>0</v>
      </c>
      <c r="Q95" s="21" t="n">
        <f aca="false">G95-M95</f>
        <v>0</v>
      </c>
    </row>
    <row r="96" customFormat="false" ht="17.35" hidden="false" customHeight="false" outlineLevel="0" collapsed="false">
      <c r="B96" s="36" t="s">
        <v>103</v>
      </c>
      <c r="C96" s="33" t="n">
        <f aca="false">C60+C67+C74+C81+C88+C95</f>
        <v>0</v>
      </c>
      <c r="D96" s="35" t="n">
        <f aca="false">D60+D67+D74+D81+D88+D95</f>
        <v>0</v>
      </c>
      <c r="E96" s="35" t="n">
        <f aca="false">E60+E67+E74+E81+E88+E95</f>
        <v>0</v>
      </c>
      <c r="F96" s="35" t="n">
        <f aca="false">F60+F67+F74+F81+F88+F95</f>
        <v>0</v>
      </c>
      <c r="G96" s="35" t="n">
        <f aca="false">G60+G67+G74+G81+G88+G95</f>
        <v>0</v>
      </c>
      <c r="H96" s="37" t="n">
        <f aca="false">H60+H67+H74+H81+H88+H95</f>
        <v>0</v>
      </c>
      <c r="I96" s="35" t="n">
        <f aca="false">I60+I67+I74+I81+I88+I95</f>
        <v>0</v>
      </c>
      <c r="K96" s="35" t="n">
        <f aca="false">K60+K67+K74+K81+K88+K95</f>
        <v>144</v>
      </c>
      <c r="L96" s="35" t="n">
        <f aca="false">L60+L67+L74+L81+L88+L95</f>
        <v>400</v>
      </c>
      <c r="M96" s="35" t="n">
        <f aca="false">M60+M67+M74+M81+M88+M95</f>
        <v>72</v>
      </c>
      <c r="N96" s="35" t="n">
        <f aca="false">N60+N67+N74+N81+N88+N95</f>
        <v>2824</v>
      </c>
    </row>
    <row r="97" customFormat="false" ht="15" hidden="false" customHeight="false" outlineLevel="0" collapsed="false">
      <c r="B97" s="32" t="s">
        <v>104</v>
      </c>
      <c r="D97" s="21" t="n">
        <f aca="false">D96-'Pro ملف الرياضي'!G24</f>
        <v>-2670.75</v>
      </c>
      <c r="E97" s="21" t="n">
        <f aca="false">E96-'Pro ملف الرياضي'!H24</f>
        <v>-144</v>
      </c>
      <c r="F97" s="21" t="n">
        <f aca="false">F96-'Pro ملف الرياضي'!I24</f>
        <v>-400</v>
      </c>
      <c r="G97" s="21" t="n">
        <f aca="false">G96-'Pro ملف الرياضي'!J24</f>
        <v>-72</v>
      </c>
    </row>
    <row r="98" customFormat="false" ht="15" hidden="false" customHeight="false" outlineLevel="0" collapsed="false">
      <c r="B98" s="32" t="s">
        <v>80</v>
      </c>
      <c r="D98" s="38" t="str">
        <f aca="false">IF(AND(ABS(E97)&lt;='Pro إعدادات'!$B$28*2,ABS(F97)&lt;='Pro إعدادات'!$B$28*3,ABS(G97)&lt;='Pro إعدادات'!$B$28*2),"✔ ضمن السماحية","◐ راجع الفروقات")</f>
        <v>◐ راجع الفروقات</v>
      </c>
    </row>
    <row r="100" customFormat="false" ht="17.35" hidden="false" customHeight="false" outlineLevel="0" collapsed="false">
      <c r="A100" s="28" t="str">
        <f aca="false">"الثلاثاء — "&amp;'Pro ملف الرياضي'!B25&amp;"  |  الهدف: "&amp;ROUND('Pro ملف الرياضي'!G25,0)&amp;" kcal  •  بروتين "&amp;ROUND('Pro ملف الرياضي'!H25,0)&amp;" جم  •  كارب "&amp;ROUND('Pro ملف الرياضي'!I25,0)&amp;" جم  •  دهون "&amp;ROUND('Pro ملف الرياضي'!J25,0)&amp;" جم"</f>
        <v>الثلاثاء — راحة  |  الهدف: 2311 kcal  •  بروتين 144 جم  •  كارب 240 جم  •  دهون 72 جم</v>
      </c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T100" s="29" t="n">
        <f aca="false">IF(INDEX('Pro إعدادات'!$D$14:$D$19,MATCH('Pro ملف الرياضي'!B25,'Pro إعدادات'!$A$14:$A$19,0))="نعم",1,0)</f>
        <v>0</v>
      </c>
    </row>
    <row r="101" customFormat="false" ht="15" hidden="false" customHeight="false" outlineLevel="0" collapsed="false">
      <c r="A101" s="15" t="s">
        <v>74</v>
      </c>
      <c r="B101" s="15" t="s">
        <v>75</v>
      </c>
      <c r="C101" s="15" t="s">
        <v>76</v>
      </c>
      <c r="D101" s="15" t="s">
        <v>77</v>
      </c>
      <c r="E101" s="15" t="s">
        <v>38</v>
      </c>
      <c r="F101" s="15" t="s">
        <v>39</v>
      </c>
      <c r="G101" s="15" t="s">
        <v>40</v>
      </c>
      <c r="H101" s="15" t="s">
        <v>78</v>
      </c>
      <c r="I101" s="15" t="s">
        <v>79</v>
      </c>
      <c r="J101" s="15" t="s">
        <v>80</v>
      </c>
      <c r="K101" s="15" t="s">
        <v>81</v>
      </c>
      <c r="L101" s="15" t="s">
        <v>82</v>
      </c>
      <c r="M101" s="15" t="s">
        <v>83</v>
      </c>
      <c r="N101" s="15" t="s">
        <v>84</v>
      </c>
      <c r="O101" s="15" t="s">
        <v>85</v>
      </c>
      <c r="P101" s="15" t="s">
        <v>86</v>
      </c>
      <c r="Q101" s="15" t="s">
        <v>87</v>
      </c>
    </row>
    <row r="102" customFormat="false" ht="15" hidden="false" customHeight="false" outlineLevel="0" collapsed="false">
      <c r="A102" s="14" t="str">
        <f aca="false">'Pro إعدادات'!A33&amp;" ("&amp;'Pro إعدادات'!B33&amp;")"</f>
        <v>الإفطار (07:30)</v>
      </c>
      <c r="B102" s="5"/>
      <c r="C102" s="18"/>
      <c r="D102" s="19" t="str">
        <f aca="false">IF(OR($S102="",N($C102)=0),"",$C102/100*N(INDEX('Pro قاعدة الأغذية'!$F$5:$F$604,$S102)))</f>
        <v/>
      </c>
      <c r="E102" s="22" t="str">
        <f aca="false">IF(OR($S102="",N($C102)=0),"",$C102/100*N(INDEX('Pro قاعدة الأغذية'!$G$5:$G$604,$S102)))</f>
        <v/>
      </c>
      <c r="F102" s="22" t="str">
        <f aca="false">IF(OR($S102="",N($C102)=0),"",$C102/100*N(INDEX('Pro قاعدة الأغذية'!$H$5:$H$604,$S102)))</f>
        <v/>
      </c>
      <c r="G102" s="22" t="str">
        <f aca="false">IF(OR($S102="",N($C102)=0),"",$C102/100*N(INDEX('Pro قاعدة الأغذية'!$I$5:$I$604,$S102)))</f>
        <v/>
      </c>
      <c r="H102" s="22" t="str">
        <f aca="false">IF(OR($S102="",N($C102)=0),"",$C102/100*N(INDEX('Pro قاعدة الأغذية'!$J$5:$J$604,$S102)))</f>
        <v/>
      </c>
      <c r="I102" s="19" t="str">
        <f aca="false">IF(OR($S102="",N($C102)=0),"",$C102/100*N(INDEX('Pro قاعدة الأغذية'!$L$5:$L$604,$S102)))</f>
        <v/>
      </c>
      <c r="J102" s="30" t="str">
        <f aca="false">IF($S102="","",INDEX('Pro قاعدة الأغذية'!$E$5:$E$604,$S102))</f>
        <v/>
      </c>
      <c r="S102" s="31" t="str">
        <f aca="false">IF(B102="","",IFERROR(MATCH(B102,'Pro قاعدة الأغذية'!$C$5:$C$604,0),""))</f>
        <v/>
      </c>
    </row>
    <row r="103" customFormat="false" ht="15" hidden="false" customHeight="false" outlineLevel="0" collapsed="false">
      <c r="A103" s="24"/>
      <c r="B103" s="5"/>
      <c r="C103" s="18"/>
      <c r="D103" s="19" t="str">
        <f aca="false">IF(OR($S103="",N($C103)=0),"",$C103/100*N(INDEX('Pro قاعدة الأغذية'!$F$5:$F$604,$S103)))</f>
        <v/>
      </c>
      <c r="E103" s="22" t="str">
        <f aca="false">IF(OR($S103="",N($C103)=0),"",$C103/100*N(INDEX('Pro قاعدة الأغذية'!$G$5:$G$604,$S103)))</f>
        <v/>
      </c>
      <c r="F103" s="22" t="str">
        <f aca="false">IF(OR($S103="",N($C103)=0),"",$C103/100*N(INDEX('Pro قاعدة الأغذية'!$H$5:$H$604,$S103)))</f>
        <v/>
      </c>
      <c r="G103" s="22" t="str">
        <f aca="false">IF(OR($S103="",N($C103)=0),"",$C103/100*N(INDEX('Pro قاعدة الأغذية'!$I$5:$I$604,$S103)))</f>
        <v/>
      </c>
      <c r="H103" s="22" t="str">
        <f aca="false">IF(OR($S103="",N($C103)=0),"",$C103/100*N(INDEX('Pro قاعدة الأغذية'!$J$5:$J$604,$S103)))</f>
        <v/>
      </c>
      <c r="I103" s="19" t="str">
        <f aca="false">IF(OR($S103="",N($C103)=0),"",$C103/100*N(INDEX('Pro قاعدة الأغذية'!$L$5:$L$604,$S103)))</f>
        <v/>
      </c>
      <c r="J103" s="30" t="str">
        <f aca="false">IF($S103="","",INDEX('Pro قاعدة الأغذية'!$E$5:$E$604,$S103))</f>
        <v/>
      </c>
      <c r="S103" s="31" t="str">
        <f aca="false">IF(B103="","",IFERROR(MATCH(B103,'Pro قاعدة الأغذية'!$C$5:$C$604,0),""))</f>
        <v/>
      </c>
    </row>
    <row r="104" customFormat="false" ht="15" hidden="false" customHeight="false" outlineLevel="0" collapsed="false">
      <c r="A104" s="24"/>
      <c r="B104" s="5"/>
      <c r="C104" s="18"/>
      <c r="D104" s="19" t="str">
        <f aca="false">IF(OR($S104="",N($C104)=0),"",$C104/100*N(INDEX('Pro قاعدة الأغذية'!$F$5:$F$604,$S104)))</f>
        <v/>
      </c>
      <c r="E104" s="22" t="str">
        <f aca="false">IF(OR($S104="",N($C104)=0),"",$C104/100*N(INDEX('Pro قاعدة الأغذية'!$G$5:$G$604,$S104)))</f>
        <v/>
      </c>
      <c r="F104" s="22" t="str">
        <f aca="false">IF(OR($S104="",N($C104)=0),"",$C104/100*N(INDEX('Pro قاعدة الأغذية'!$H$5:$H$604,$S104)))</f>
        <v/>
      </c>
      <c r="G104" s="22" t="str">
        <f aca="false">IF(OR($S104="",N($C104)=0),"",$C104/100*N(INDEX('Pro قاعدة الأغذية'!$I$5:$I$604,$S104)))</f>
        <v/>
      </c>
      <c r="H104" s="22" t="str">
        <f aca="false">IF(OR($S104="",N($C104)=0),"",$C104/100*N(INDEX('Pro قاعدة الأغذية'!$J$5:$J$604,$S104)))</f>
        <v/>
      </c>
      <c r="I104" s="19" t="str">
        <f aca="false">IF(OR($S104="",N($C104)=0),"",$C104/100*N(INDEX('Pro قاعدة الأغذية'!$L$5:$L$604,$S104)))</f>
        <v/>
      </c>
      <c r="J104" s="30" t="str">
        <f aca="false">IF($S104="","",INDEX('Pro قاعدة الأغذية'!$E$5:$E$604,$S104))</f>
        <v/>
      </c>
      <c r="S104" s="31" t="str">
        <f aca="false">IF(B104="","",IFERROR(MATCH(B104,'Pro قاعدة الأغذية'!$C$5:$C$604,0),""))</f>
        <v/>
      </c>
    </row>
    <row r="105" customFormat="false" ht="15" hidden="false" customHeight="false" outlineLevel="0" collapsed="false">
      <c r="A105" s="24"/>
      <c r="B105" s="5"/>
      <c r="C105" s="18"/>
      <c r="D105" s="19" t="str">
        <f aca="false">IF(OR($S105="",N($C105)=0),"",$C105/100*N(INDEX('Pro قاعدة الأغذية'!$F$5:$F$604,$S105)))</f>
        <v/>
      </c>
      <c r="E105" s="22" t="str">
        <f aca="false">IF(OR($S105="",N($C105)=0),"",$C105/100*N(INDEX('Pro قاعدة الأغذية'!$G$5:$G$604,$S105)))</f>
        <v/>
      </c>
      <c r="F105" s="22" t="str">
        <f aca="false">IF(OR($S105="",N($C105)=0),"",$C105/100*N(INDEX('Pro قاعدة الأغذية'!$H$5:$H$604,$S105)))</f>
        <v/>
      </c>
      <c r="G105" s="22" t="str">
        <f aca="false">IF(OR($S105="",N($C105)=0),"",$C105/100*N(INDEX('Pro قاعدة الأغذية'!$I$5:$I$604,$S105)))</f>
        <v/>
      </c>
      <c r="H105" s="22" t="str">
        <f aca="false">IF(OR($S105="",N($C105)=0),"",$C105/100*N(INDEX('Pro قاعدة الأغذية'!$J$5:$J$604,$S105)))</f>
        <v/>
      </c>
      <c r="I105" s="19" t="str">
        <f aca="false">IF(OR($S105="",N($C105)=0),"",$C105/100*N(INDEX('Pro قاعدة الأغذية'!$L$5:$L$604,$S105)))</f>
        <v/>
      </c>
      <c r="J105" s="30" t="str">
        <f aca="false">IF($S105="","",INDEX('Pro قاعدة الأغذية'!$E$5:$E$604,$S105))</f>
        <v/>
      </c>
      <c r="S105" s="31" t="str">
        <f aca="false">IF(B105="","",IFERROR(MATCH(B105,'Pro قاعدة الأغذية'!$C$5:$C$604,0),""))</f>
        <v/>
      </c>
    </row>
    <row r="106" customFormat="false" ht="15" hidden="false" customHeight="false" outlineLevel="0" collapsed="false">
      <c r="A106" s="24"/>
      <c r="B106" s="5"/>
      <c r="C106" s="18"/>
      <c r="D106" s="19" t="str">
        <f aca="false">IF(OR($S106="",N($C106)=0),"",$C106/100*N(INDEX('Pro قاعدة الأغذية'!$F$5:$F$604,$S106)))</f>
        <v/>
      </c>
      <c r="E106" s="22" t="str">
        <f aca="false">IF(OR($S106="",N($C106)=0),"",$C106/100*N(INDEX('Pro قاعدة الأغذية'!$G$5:$G$604,$S106)))</f>
        <v/>
      </c>
      <c r="F106" s="22" t="str">
        <f aca="false">IF(OR($S106="",N($C106)=0),"",$C106/100*N(INDEX('Pro قاعدة الأغذية'!$H$5:$H$604,$S106)))</f>
        <v/>
      </c>
      <c r="G106" s="22" t="str">
        <f aca="false">IF(OR($S106="",N($C106)=0),"",$C106/100*N(INDEX('Pro قاعدة الأغذية'!$I$5:$I$604,$S106)))</f>
        <v/>
      </c>
      <c r="H106" s="22" t="str">
        <f aca="false">IF(OR($S106="",N($C106)=0),"",$C106/100*N(INDEX('Pro قاعدة الأغذية'!$J$5:$J$604,$S106)))</f>
        <v/>
      </c>
      <c r="I106" s="19" t="str">
        <f aca="false">IF(OR($S106="",N($C106)=0),"",$C106/100*N(INDEX('Pro قاعدة الأغذية'!$L$5:$L$604,$S106)))</f>
        <v/>
      </c>
      <c r="J106" s="30" t="str">
        <f aca="false">IF($S106="","",INDEX('Pro قاعدة الأغذية'!$E$5:$E$604,$S106))</f>
        <v/>
      </c>
      <c r="S106" s="31" t="str">
        <f aca="false">IF(B106="","",IFERROR(MATCH(B106,'Pro قاعدة الأغذية'!$C$5:$C$604,0),""))</f>
        <v/>
      </c>
    </row>
    <row r="107" customFormat="false" ht="15" hidden="false" customHeight="false" outlineLevel="0" collapsed="false">
      <c r="A107" s="24"/>
      <c r="B107" s="5"/>
      <c r="C107" s="18"/>
      <c r="D107" s="19" t="str">
        <f aca="false">IF(OR($S107="",N($C107)=0),"",$C107/100*N(INDEX('Pro قاعدة الأغذية'!$F$5:$F$604,$S107)))</f>
        <v/>
      </c>
      <c r="E107" s="22" t="str">
        <f aca="false">IF(OR($S107="",N($C107)=0),"",$C107/100*N(INDEX('Pro قاعدة الأغذية'!$G$5:$G$604,$S107)))</f>
        <v/>
      </c>
      <c r="F107" s="22" t="str">
        <f aca="false">IF(OR($S107="",N($C107)=0),"",$C107/100*N(INDEX('Pro قاعدة الأغذية'!$H$5:$H$604,$S107)))</f>
        <v/>
      </c>
      <c r="G107" s="22" t="str">
        <f aca="false">IF(OR($S107="",N($C107)=0),"",$C107/100*N(INDEX('Pro قاعدة الأغذية'!$I$5:$I$604,$S107)))</f>
        <v/>
      </c>
      <c r="H107" s="22" t="str">
        <f aca="false">IF(OR($S107="",N($C107)=0),"",$C107/100*N(INDEX('Pro قاعدة الأغذية'!$J$5:$J$604,$S107)))</f>
        <v/>
      </c>
      <c r="I107" s="19" t="str">
        <f aca="false">IF(OR($S107="",N($C107)=0),"",$C107/100*N(INDEX('Pro قاعدة الأغذية'!$L$5:$L$604,$S107)))</f>
        <v/>
      </c>
      <c r="J107" s="30" t="str">
        <f aca="false">IF($S107="","",INDEX('Pro قاعدة الأغذية'!$E$5:$E$604,$S107))</f>
        <v/>
      </c>
      <c r="S107" s="31" t="str">
        <f aca="false">IF(B107="","",IFERROR(MATCH(B107,'Pro قاعدة الأغذية'!$C$5:$C$604,0),""))</f>
        <v/>
      </c>
    </row>
    <row r="108" customFormat="false" ht="15" hidden="false" customHeight="false" outlineLevel="0" collapsed="false">
      <c r="A108" s="24"/>
      <c r="B108" s="32" t="s">
        <v>91</v>
      </c>
      <c r="C108" s="33" t="n">
        <f aca="false">SUM(C102:C107)</f>
        <v>0</v>
      </c>
      <c r="D108" s="33" t="n">
        <f aca="false">SUM(D102:D107)</f>
        <v>0</v>
      </c>
      <c r="E108" s="33" t="n">
        <f aca="false">SUM(E102:E107)</f>
        <v>0</v>
      </c>
      <c r="F108" s="33" t="n">
        <f aca="false">SUM(F102:F107)</f>
        <v>0</v>
      </c>
      <c r="G108" s="33" t="n">
        <f aca="false">SUM(G102:G107)</f>
        <v>0</v>
      </c>
      <c r="H108" s="34" t="n">
        <f aca="false">SUM(H102:H107)</f>
        <v>0</v>
      </c>
      <c r="I108" s="33" t="n">
        <f aca="false">SUM(I102:I107)</f>
        <v>0</v>
      </c>
      <c r="K108" s="35" t="n">
        <f aca="false">IF(AND(('Pro إعدادات'!$C$33="نعم"),IF($T$100=1,'Pro إعدادات'!$G$39,'Pro إعدادات'!$D$39)&gt;0),'Pro ملف الرياضي'!$H$25*IF($T$100=1,'Pro إعدادات'!$G$33,'Pro إعدادات'!$D$33)/IF($T$100=1,'Pro إعدادات'!$G$39,'Pro إعدادات'!$D$39),0)</f>
        <v>36</v>
      </c>
      <c r="L108" s="35" t="n">
        <f aca="false">IF(AND(('Pro إعدادات'!$C$33="نعم"),IF($T$100=1,'Pro إعدادات'!$H$39,'Pro إعدادات'!$E$39)&gt;0),'Pro ملف الرياضي'!$I$25*IF($T$100=1,'Pro إعدادات'!$H$33,'Pro إعدادات'!$E$33)/IF($T$100=1,'Pro إعدادات'!$H$39,'Pro إعدادات'!$E$39),0)</f>
        <v>60</v>
      </c>
      <c r="M108" s="35" t="n">
        <f aca="false">IF(AND(('Pro إعدادات'!$C$33="نعم"),IF($T$100=1,'Pro إعدادات'!$I$39,'Pro إعدادات'!$F$39)&gt;0),'Pro ملف الرياضي'!$J$25*IF($T$100=1,'Pro إعدادات'!$I$33,'Pro إعدادات'!$F$33)/IF($T$100=1,'Pro إعدادات'!$I$39,'Pro إعدادات'!$F$39),0)</f>
        <v>18</v>
      </c>
      <c r="N108" s="35" t="n">
        <f aca="false">4*K108+4*L108+9*M108</f>
        <v>546</v>
      </c>
      <c r="O108" s="21" t="n">
        <f aca="false">E108-K108</f>
        <v>-36</v>
      </c>
      <c r="P108" s="21" t="n">
        <f aca="false">F108-L108</f>
        <v>-60</v>
      </c>
      <c r="Q108" s="21" t="n">
        <f aca="false">G108-M108</f>
        <v>-18</v>
      </c>
    </row>
    <row r="109" customFormat="false" ht="15" hidden="false" customHeight="false" outlineLevel="0" collapsed="false">
      <c r="A109" s="14" t="str">
        <f aca="false">'Pro إعدادات'!A34&amp;" ("&amp;'Pro إعدادات'!B34&amp;")"</f>
        <v>سناك 1 / قبل التدريب (10:30)</v>
      </c>
      <c r="B109" s="5"/>
      <c r="C109" s="18"/>
      <c r="D109" s="19" t="str">
        <f aca="false">IF(OR($S109="",N($C109)=0),"",$C109/100*N(INDEX('Pro قاعدة الأغذية'!$F$5:$F$604,$S109)))</f>
        <v/>
      </c>
      <c r="E109" s="22" t="str">
        <f aca="false">IF(OR($S109="",N($C109)=0),"",$C109/100*N(INDEX('Pro قاعدة الأغذية'!$G$5:$G$604,$S109)))</f>
        <v/>
      </c>
      <c r="F109" s="22" t="str">
        <f aca="false">IF(OR($S109="",N($C109)=0),"",$C109/100*N(INDEX('Pro قاعدة الأغذية'!$H$5:$H$604,$S109)))</f>
        <v/>
      </c>
      <c r="G109" s="22" t="str">
        <f aca="false">IF(OR($S109="",N($C109)=0),"",$C109/100*N(INDEX('Pro قاعدة الأغذية'!$I$5:$I$604,$S109)))</f>
        <v/>
      </c>
      <c r="H109" s="22" t="str">
        <f aca="false">IF(OR($S109="",N($C109)=0),"",$C109/100*N(INDEX('Pro قاعدة الأغذية'!$J$5:$J$604,$S109)))</f>
        <v/>
      </c>
      <c r="I109" s="19" t="str">
        <f aca="false">IF(OR($S109="",N($C109)=0),"",$C109/100*N(INDEX('Pro قاعدة الأغذية'!$L$5:$L$604,$S109)))</f>
        <v/>
      </c>
      <c r="J109" s="30" t="str">
        <f aca="false">IF($S109="","",INDEX('Pro قاعدة الأغذية'!$E$5:$E$604,$S109))</f>
        <v/>
      </c>
      <c r="S109" s="31" t="str">
        <f aca="false">IF(B109="","",IFERROR(MATCH(B109,'Pro قاعدة الأغذية'!$C$5:$C$604,0),""))</f>
        <v/>
      </c>
    </row>
    <row r="110" customFormat="false" ht="15" hidden="false" customHeight="false" outlineLevel="0" collapsed="false">
      <c r="A110" s="24"/>
      <c r="B110" s="5"/>
      <c r="C110" s="18"/>
      <c r="D110" s="19" t="str">
        <f aca="false">IF(OR($S110="",N($C110)=0),"",$C110/100*N(INDEX('Pro قاعدة الأغذية'!$F$5:$F$604,$S110)))</f>
        <v/>
      </c>
      <c r="E110" s="22" t="str">
        <f aca="false">IF(OR($S110="",N($C110)=0),"",$C110/100*N(INDEX('Pro قاعدة الأغذية'!$G$5:$G$604,$S110)))</f>
        <v/>
      </c>
      <c r="F110" s="22" t="str">
        <f aca="false">IF(OR($S110="",N($C110)=0),"",$C110/100*N(INDEX('Pro قاعدة الأغذية'!$H$5:$H$604,$S110)))</f>
        <v/>
      </c>
      <c r="G110" s="22" t="str">
        <f aca="false">IF(OR($S110="",N($C110)=0),"",$C110/100*N(INDEX('Pro قاعدة الأغذية'!$I$5:$I$604,$S110)))</f>
        <v/>
      </c>
      <c r="H110" s="22" t="str">
        <f aca="false">IF(OR($S110="",N($C110)=0),"",$C110/100*N(INDEX('Pro قاعدة الأغذية'!$J$5:$J$604,$S110)))</f>
        <v/>
      </c>
      <c r="I110" s="19" t="str">
        <f aca="false">IF(OR($S110="",N($C110)=0),"",$C110/100*N(INDEX('Pro قاعدة الأغذية'!$L$5:$L$604,$S110)))</f>
        <v/>
      </c>
      <c r="J110" s="30" t="str">
        <f aca="false">IF($S110="","",INDEX('Pro قاعدة الأغذية'!$E$5:$E$604,$S110))</f>
        <v/>
      </c>
      <c r="S110" s="31" t="str">
        <f aca="false">IF(B110="","",IFERROR(MATCH(B110,'Pro قاعدة الأغذية'!$C$5:$C$604,0),""))</f>
        <v/>
      </c>
    </row>
    <row r="111" customFormat="false" ht="15" hidden="false" customHeight="false" outlineLevel="0" collapsed="false">
      <c r="A111" s="24"/>
      <c r="B111" s="5"/>
      <c r="C111" s="18"/>
      <c r="D111" s="19" t="str">
        <f aca="false">IF(OR($S111="",N($C111)=0),"",$C111/100*N(INDEX('Pro قاعدة الأغذية'!$F$5:$F$604,$S111)))</f>
        <v/>
      </c>
      <c r="E111" s="22" t="str">
        <f aca="false">IF(OR($S111="",N($C111)=0),"",$C111/100*N(INDEX('Pro قاعدة الأغذية'!$G$5:$G$604,$S111)))</f>
        <v/>
      </c>
      <c r="F111" s="22" t="str">
        <f aca="false">IF(OR($S111="",N($C111)=0),"",$C111/100*N(INDEX('Pro قاعدة الأغذية'!$H$5:$H$604,$S111)))</f>
        <v/>
      </c>
      <c r="G111" s="22" t="str">
        <f aca="false">IF(OR($S111="",N($C111)=0),"",$C111/100*N(INDEX('Pro قاعدة الأغذية'!$I$5:$I$604,$S111)))</f>
        <v/>
      </c>
      <c r="H111" s="22" t="str">
        <f aca="false">IF(OR($S111="",N($C111)=0),"",$C111/100*N(INDEX('Pro قاعدة الأغذية'!$J$5:$J$604,$S111)))</f>
        <v/>
      </c>
      <c r="I111" s="19" t="str">
        <f aca="false">IF(OR($S111="",N($C111)=0),"",$C111/100*N(INDEX('Pro قاعدة الأغذية'!$L$5:$L$604,$S111)))</f>
        <v/>
      </c>
      <c r="J111" s="30" t="str">
        <f aca="false">IF($S111="","",INDEX('Pro قاعدة الأغذية'!$E$5:$E$604,$S111))</f>
        <v/>
      </c>
      <c r="S111" s="31" t="str">
        <f aca="false">IF(B111="","",IFERROR(MATCH(B111,'Pro قاعدة الأغذية'!$C$5:$C$604,0),""))</f>
        <v/>
      </c>
    </row>
    <row r="112" customFormat="false" ht="15" hidden="false" customHeight="false" outlineLevel="0" collapsed="false">
      <c r="A112" s="24"/>
      <c r="B112" s="5"/>
      <c r="C112" s="18"/>
      <c r="D112" s="19" t="str">
        <f aca="false">IF(OR($S112="",N($C112)=0),"",$C112/100*N(INDEX('Pro قاعدة الأغذية'!$F$5:$F$604,$S112)))</f>
        <v/>
      </c>
      <c r="E112" s="22" t="str">
        <f aca="false">IF(OR($S112="",N($C112)=0),"",$C112/100*N(INDEX('Pro قاعدة الأغذية'!$G$5:$G$604,$S112)))</f>
        <v/>
      </c>
      <c r="F112" s="22" t="str">
        <f aca="false">IF(OR($S112="",N($C112)=0),"",$C112/100*N(INDEX('Pro قاعدة الأغذية'!$H$5:$H$604,$S112)))</f>
        <v/>
      </c>
      <c r="G112" s="22" t="str">
        <f aca="false">IF(OR($S112="",N($C112)=0),"",$C112/100*N(INDEX('Pro قاعدة الأغذية'!$I$5:$I$604,$S112)))</f>
        <v/>
      </c>
      <c r="H112" s="22" t="str">
        <f aca="false">IF(OR($S112="",N($C112)=0),"",$C112/100*N(INDEX('Pro قاعدة الأغذية'!$J$5:$J$604,$S112)))</f>
        <v/>
      </c>
      <c r="I112" s="19" t="str">
        <f aca="false">IF(OR($S112="",N($C112)=0),"",$C112/100*N(INDEX('Pro قاعدة الأغذية'!$L$5:$L$604,$S112)))</f>
        <v/>
      </c>
      <c r="J112" s="30" t="str">
        <f aca="false">IF($S112="","",INDEX('Pro قاعدة الأغذية'!$E$5:$E$604,$S112))</f>
        <v/>
      </c>
      <c r="S112" s="31" t="str">
        <f aca="false">IF(B112="","",IFERROR(MATCH(B112,'Pro قاعدة الأغذية'!$C$5:$C$604,0),""))</f>
        <v/>
      </c>
    </row>
    <row r="113" customFormat="false" ht="15" hidden="false" customHeight="false" outlineLevel="0" collapsed="false">
      <c r="A113" s="24"/>
      <c r="B113" s="5"/>
      <c r="C113" s="18"/>
      <c r="D113" s="19" t="str">
        <f aca="false">IF(OR($S113="",N($C113)=0),"",$C113/100*N(INDEX('Pro قاعدة الأغذية'!$F$5:$F$604,$S113)))</f>
        <v/>
      </c>
      <c r="E113" s="22" t="str">
        <f aca="false">IF(OR($S113="",N($C113)=0),"",$C113/100*N(INDEX('Pro قاعدة الأغذية'!$G$5:$G$604,$S113)))</f>
        <v/>
      </c>
      <c r="F113" s="22" t="str">
        <f aca="false">IF(OR($S113="",N($C113)=0),"",$C113/100*N(INDEX('Pro قاعدة الأغذية'!$H$5:$H$604,$S113)))</f>
        <v/>
      </c>
      <c r="G113" s="22" t="str">
        <f aca="false">IF(OR($S113="",N($C113)=0),"",$C113/100*N(INDEX('Pro قاعدة الأغذية'!$I$5:$I$604,$S113)))</f>
        <v/>
      </c>
      <c r="H113" s="22" t="str">
        <f aca="false">IF(OR($S113="",N($C113)=0),"",$C113/100*N(INDEX('Pro قاعدة الأغذية'!$J$5:$J$604,$S113)))</f>
        <v/>
      </c>
      <c r="I113" s="19" t="str">
        <f aca="false">IF(OR($S113="",N($C113)=0),"",$C113/100*N(INDEX('Pro قاعدة الأغذية'!$L$5:$L$604,$S113)))</f>
        <v/>
      </c>
      <c r="J113" s="30" t="str">
        <f aca="false">IF($S113="","",INDEX('Pro قاعدة الأغذية'!$E$5:$E$604,$S113))</f>
        <v/>
      </c>
      <c r="S113" s="31" t="str">
        <f aca="false">IF(B113="","",IFERROR(MATCH(B113,'Pro قاعدة الأغذية'!$C$5:$C$604,0),""))</f>
        <v/>
      </c>
    </row>
    <row r="114" customFormat="false" ht="15" hidden="false" customHeight="false" outlineLevel="0" collapsed="false">
      <c r="A114" s="24"/>
      <c r="B114" s="5"/>
      <c r="C114" s="18"/>
      <c r="D114" s="19" t="str">
        <f aca="false">IF(OR($S114="",N($C114)=0),"",$C114/100*N(INDEX('Pro قاعدة الأغذية'!$F$5:$F$604,$S114)))</f>
        <v/>
      </c>
      <c r="E114" s="22" t="str">
        <f aca="false">IF(OR($S114="",N($C114)=0),"",$C114/100*N(INDEX('Pro قاعدة الأغذية'!$G$5:$G$604,$S114)))</f>
        <v/>
      </c>
      <c r="F114" s="22" t="str">
        <f aca="false">IF(OR($S114="",N($C114)=0),"",$C114/100*N(INDEX('Pro قاعدة الأغذية'!$H$5:$H$604,$S114)))</f>
        <v/>
      </c>
      <c r="G114" s="22" t="str">
        <f aca="false">IF(OR($S114="",N($C114)=0),"",$C114/100*N(INDEX('Pro قاعدة الأغذية'!$I$5:$I$604,$S114)))</f>
        <v/>
      </c>
      <c r="H114" s="22" t="str">
        <f aca="false">IF(OR($S114="",N($C114)=0),"",$C114/100*N(INDEX('Pro قاعدة الأغذية'!$J$5:$J$604,$S114)))</f>
        <v/>
      </c>
      <c r="I114" s="19" t="str">
        <f aca="false">IF(OR($S114="",N($C114)=0),"",$C114/100*N(INDEX('Pro قاعدة الأغذية'!$L$5:$L$604,$S114)))</f>
        <v/>
      </c>
      <c r="J114" s="30" t="str">
        <f aca="false">IF($S114="","",INDEX('Pro قاعدة الأغذية'!$E$5:$E$604,$S114))</f>
        <v/>
      </c>
      <c r="S114" s="31" t="str">
        <f aca="false">IF(B114="","",IFERROR(MATCH(B114,'Pro قاعدة الأغذية'!$C$5:$C$604,0),""))</f>
        <v/>
      </c>
    </row>
    <row r="115" customFormat="false" ht="15" hidden="false" customHeight="false" outlineLevel="0" collapsed="false">
      <c r="A115" s="24"/>
      <c r="B115" s="32" t="s">
        <v>91</v>
      </c>
      <c r="C115" s="33" t="n">
        <f aca="false">SUM(C109:C114)</f>
        <v>0</v>
      </c>
      <c r="D115" s="33" t="n">
        <f aca="false">SUM(D109:D114)</f>
        <v>0</v>
      </c>
      <c r="E115" s="33" t="n">
        <f aca="false">SUM(E109:E114)</f>
        <v>0</v>
      </c>
      <c r="F115" s="33" t="n">
        <f aca="false">SUM(F109:F114)</f>
        <v>0</v>
      </c>
      <c r="G115" s="33" t="n">
        <f aca="false">SUM(G109:G114)</f>
        <v>0</v>
      </c>
      <c r="H115" s="34" t="n">
        <f aca="false">SUM(H109:H114)</f>
        <v>0</v>
      </c>
      <c r="I115" s="33" t="n">
        <f aca="false">SUM(I109:I114)</f>
        <v>0</v>
      </c>
      <c r="K115" s="35" t="n">
        <f aca="false">IF(AND(('Pro إعدادات'!$C$34="نعم"),IF($T$100=1,'Pro إعدادات'!$G$39,'Pro إعدادات'!$D$39)&gt;0),'Pro ملف الرياضي'!$H$25*IF($T$100=1,'Pro إعدادات'!$G$34,'Pro إعدادات'!$D$34)/IF($T$100=1,'Pro إعدادات'!$G$39,'Pro إعدادات'!$D$39),0)</f>
        <v>14.4</v>
      </c>
      <c r="L115" s="35" t="n">
        <f aca="false">IF(AND(('Pro إعدادات'!$C$34="نعم"),IF($T$100=1,'Pro إعدادات'!$H$39,'Pro إعدادات'!$E$39)&gt;0),'Pro ملف الرياضي'!$I$25*IF($T$100=1,'Pro إعدادات'!$H$34,'Pro إعدادات'!$E$34)/IF($T$100=1,'Pro إعدادات'!$H$39,'Pro إعدادات'!$E$39),0)</f>
        <v>24</v>
      </c>
      <c r="M115" s="35" t="n">
        <f aca="false">IF(AND(('Pro إعدادات'!$C$34="نعم"),IF($T$100=1,'Pro إعدادات'!$I$39,'Pro إعدادات'!$F$39)&gt;0),'Pro ملف الرياضي'!$J$25*IF($T$100=1,'Pro إعدادات'!$I$34,'Pro إعدادات'!$F$34)/IF($T$100=1,'Pro إعدادات'!$I$39,'Pro إعدادات'!$F$39),0)</f>
        <v>7.2</v>
      </c>
      <c r="N115" s="35" t="n">
        <f aca="false">4*K115+4*L115+9*M115</f>
        <v>218.4</v>
      </c>
      <c r="O115" s="21" t="n">
        <f aca="false">E115-K115</f>
        <v>-14.4</v>
      </c>
      <c r="P115" s="21" t="n">
        <f aca="false">F115-L115</f>
        <v>-24</v>
      </c>
      <c r="Q115" s="21" t="n">
        <f aca="false">G115-M115</f>
        <v>-7.2</v>
      </c>
    </row>
    <row r="116" customFormat="false" ht="15" hidden="false" customHeight="false" outlineLevel="0" collapsed="false">
      <c r="A116" s="14" t="str">
        <f aca="false">'Pro إعدادات'!A35&amp;" ("&amp;'Pro إعدادات'!B35&amp;")"</f>
        <v>الغداء (13:30)</v>
      </c>
      <c r="B116" s="5"/>
      <c r="C116" s="18"/>
      <c r="D116" s="19" t="str">
        <f aca="false">IF(OR($S116="",N($C116)=0),"",$C116/100*N(INDEX('Pro قاعدة الأغذية'!$F$5:$F$604,$S116)))</f>
        <v/>
      </c>
      <c r="E116" s="22" t="str">
        <f aca="false">IF(OR($S116="",N($C116)=0),"",$C116/100*N(INDEX('Pro قاعدة الأغذية'!$G$5:$G$604,$S116)))</f>
        <v/>
      </c>
      <c r="F116" s="22" t="str">
        <f aca="false">IF(OR($S116="",N($C116)=0),"",$C116/100*N(INDEX('Pro قاعدة الأغذية'!$H$5:$H$604,$S116)))</f>
        <v/>
      </c>
      <c r="G116" s="22" t="str">
        <f aca="false">IF(OR($S116="",N($C116)=0),"",$C116/100*N(INDEX('Pro قاعدة الأغذية'!$I$5:$I$604,$S116)))</f>
        <v/>
      </c>
      <c r="H116" s="22" t="str">
        <f aca="false">IF(OR($S116="",N($C116)=0),"",$C116/100*N(INDEX('Pro قاعدة الأغذية'!$J$5:$J$604,$S116)))</f>
        <v/>
      </c>
      <c r="I116" s="19" t="str">
        <f aca="false">IF(OR($S116="",N($C116)=0),"",$C116/100*N(INDEX('Pro قاعدة الأغذية'!$L$5:$L$604,$S116)))</f>
        <v/>
      </c>
      <c r="J116" s="30" t="str">
        <f aca="false">IF($S116="","",INDEX('Pro قاعدة الأغذية'!$E$5:$E$604,$S116))</f>
        <v/>
      </c>
      <c r="S116" s="31" t="str">
        <f aca="false">IF(B116="","",IFERROR(MATCH(B116,'Pro قاعدة الأغذية'!$C$5:$C$604,0),""))</f>
        <v/>
      </c>
    </row>
    <row r="117" customFormat="false" ht="15" hidden="false" customHeight="false" outlineLevel="0" collapsed="false">
      <c r="A117" s="24"/>
      <c r="B117" s="5"/>
      <c r="C117" s="18"/>
      <c r="D117" s="19" t="str">
        <f aca="false">IF(OR($S117="",N($C117)=0),"",$C117/100*N(INDEX('Pro قاعدة الأغذية'!$F$5:$F$604,$S117)))</f>
        <v/>
      </c>
      <c r="E117" s="22" t="str">
        <f aca="false">IF(OR($S117="",N($C117)=0),"",$C117/100*N(INDEX('Pro قاعدة الأغذية'!$G$5:$G$604,$S117)))</f>
        <v/>
      </c>
      <c r="F117" s="22" t="str">
        <f aca="false">IF(OR($S117="",N($C117)=0),"",$C117/100*N(INDEX('Pro قاعدة الأغذية'!$H$5:$H$604,$S117)))</f>
        <v/>
      </c>
      <c r="G117" s="22" t="str">
        <f aca="false">IF(OR($S117="",N($C117)=0),"",$C117/100*N(INDEX('Pro قاعدة الأغذية'!$I$5:$I$604,$S117)))</f>
        <v/>
      </c>
      <c r="H117" s="22" t="str">
        <f aca="false">IF(OR($S117="",N($C117)=0),"",$C117/100*N(INDEX('Pro قاعدة الأغذية'!$J$5:$J$604,$S117)))</f>
        <v/>
      </c>
      <c r="I117" s="19" t="str">
        <f aca="false">IF(OR($S117="",N($C117)=0),"",$C117/100*N(INDEX('Pro قاعدة الأغذية'!$L$5:$L$604,$S117)))</f>
        <v/>
      </c>
      <c r="J117" s="30" t="str">
        <f aca="false">IF($S117="","",INDEX('Pro قاعدة الأغذية'!$E$5:$E$604,$S117))</f>
        <v/>
      </c>
      <c r="S117" s="31" t="str">
        <f aca="false">IF(B117="","",IFERROR(MATCH(B117,'Pro قاعدة الأغذية'!$C$5:$C$604,0),""))</f>
        <v/>
      </c>
    </row>
    <row r="118" customFormat="false" ht="15" hidden="false" customHeight="false" outlineLevel="0" collapsed="false">
      <c r="A118" s="24"/>
      <c r="B118" s="5"/>
      <c r="C118" s="18"/>
      <c r="D118" s="19" t="str">
        <f aca="false">IF(OR($S118="",N($C118)=0),"",$C118/100*N(INDEX('Pro قاعدة الأغذية'!$F$5:$F$604,$S118)))</f>
        <v/>
      </c>
      <c r="E118" s="22" t="str">
        <f aca="false">IF(OR($S118="",N($C118)=0),"",$C118/100*N(INDEX('Pro قاعدة الأغذية'!$G$5:$G$604,$S118)))</f>
        <v/>
      </c>
      <c r="F118" s="22" t="str">
        <f aca="false">IF(OR($S118="",N($C118)=0),"",$C118/100*N(INDEX('Pro قاعدة الأغذية'!$H$5:$H$604,$S118)))</f>
        <v/>
      </c>
      <c r="G118" s="22" t="str">
        <f aca="false">IF(OR($S118="",N($C118)=0),"",$C118/100*N(INDEX('Pro قاعدة الأغذية'!$I$5:$I$604,$S118)))</f>
        <v/>
      </c>
      <c r="H118" s="22" t="str">
        <f aca="false">IF(OR($S118="",N($C118)=0),"",$C118/100*N(INDEX('Pro قاعدة الأغذية'!$J$5:$J$604,$S118)))</f>
        <v/>
      </c>
      <c r="I118" s="19" t="str">
        <f aca="false">IF(OR($S118="",N($C118)=0),"",$C118/100*N(INDEX('Pro قاعدة الأغذية'!$L$5:$L$604,$S118)))</f>
        <v/>
      </c>
      <c r="J118" s="30" t="str">
        <f aca="false">IF($S118="","",INDEX('Pro قاعدة الأغذية'!$E$5:$E$604,$S118))</f>
        <v/>
      </c>
      <c r="S118" s="31" t="str">
        <f aca="false">IF(B118="","",IFERROR(MATCH(B118,'Pro قاعدة الأغذية'!$C$5:$C$604,0),""))</f>
        <v/>
      </c>
    </row>
    <row r="119" customFormat="false" ht="15" hidden="false" customHeight="false" outlineLevel="0" collapsed="false">
      <c r="A119" s="24"/>
      <c r="B119" s="5"/>
      <c r="C119" s="18"/>
      <c r="D119" s="19" t="str">
        <f aca="false">IF(OR($S119="",N($C119)=0),"",$C119/100*N(INDEX('Pro قاعدة الأغذية'!$F$5:$F$604,$S119)))</f>
        <v/>
      </c>
      <c r="E119" s="22" t="str">
        <f aca="false">IF(OR($S119="",N($C119)=0),"",$C119/100*N(INDEX('Pro قاعدة الأغذية'!$G$5:$G$604,$S119)))</f>
        <v/>
      </c>
      <c r="F119" s="22" t="str">
        <f aca="false">IF(OR($S119="",N($C119)=0),"",$C119/100*N(INDEX('Pro قاعدة الأغذية'!$H$5:$H$604,$S119)))</f>
        <v/>
      </c>
      <c r="G119" s="22" t="str">
        <f aca="false">IF(OR($S119="",N($C119)=0),"",$C119/100*N(INDEX('Pro قاعدة الأغذية'!$I$5:$I$604,$S119)))</f>
        <v/>
      </c>
      <c r="H119" s="22" t="str">
        <f aca="false">IF(OR($S119="",N($C119)=0),"",$C119/100*N(INDEX('Pro قاعدة الأغذية'!$J$5:$J$604,$S119)))</f>
        <v/>
      </c>
      <c r="I119" s="19" t="str">
        <f aca="false">IF(OR($S119="",N($C119)=0),"",$C119/100*N(INDEX('Pro قاعدة الأغذية'!$L$5:$L$604,$S119)))</f>
        <v/>
      </c>
      <c r="J119" s="30" t="str">
        <f aca="false">IF($S119="","",INDEX('Pro قاعدة الأغذية'!$E$5:$E$604,$S119))</f>
        <v/>
      </c>
      <c r="S119" s="31" t="str">
        <f aca="false">IF(B119="","",IFERROR(MATCH(B119,'Pro قاعدة الأغذية'!$C$5:$C$604,0),""))</f>
        <v/>
      </c>
    </row>
    <row r="120" customFormat="false" ht="15" hidden="false" customHeight="false" outlineLevel="0" collapsed="false">
      <c r="A120" s="24"/>
      <c r="B120" s="5"/>
      <c r="C120" s="18"/>
      <c r="D120" s="19" t="str">
        <f aca="false">IF(OR($S120="",N($C120)=0),"",$C120/100*N(INDEX('Pro قاعدة الأغذية'!$F$5:$F$604,$S120)))</f>
        <v/>
      </c>
      <c r="E120" s="22" t="str">
        <f aca="false">IF(OR($S120="",N($C120)=0),"",$C120/100*N(INDEX('Pro قاعدة الأغذية'!$G$5:$G$604,$S120)))</f>
        <v/>
      </c>
      <c r="F120" s="22" t="str">
        <f aca="false">IF(OR($S120="",N($C120)=0),"",$C120/100*N(INDEX('Pro قاعدة الأغذية'!$H$5:$H$604,$S120)))</f>
        <v/>
      </c>
      <c r="G120" s="22" t="str">
        <f aca="false">IF(OR($S120="",N($C120)=0),"",$C120/100*N(INDEX('Pro قاعدة الأغذية'!$I$5:$I$604,$S120)))</f>
        <v/>
      </c>
      <c r="H120" s="22" t="str">
        <f aca="false">IF(OR($S120="",N($C120)=0),"",$C120/100*N(INDEX('Pro قاعدة الأغذية'!$J$5:$J$604,$S120)))</f>
        <v/>
      </c>
      <c r="I120" s="19" t="str">
        <f aca="false">IF(OR($S120="",N($C120)=0),"",$C120/100*N(INDEX('Pro قاعدة الأغذية'!$L$5:$L$604,$S120)))</f>
        <v/>
      </c>
      <c r="J120" s="30" t="str">
        <f aca="false">IF($S120="","",INDEX('Pro قاعدة الأغذية'!$E$5:$E$604,$S120))</f>
        <v/>
      </c>
      <c r="S120" s="31" t="str">
        <f aca="false">IF(B120="","",IFERROR(MATCH(B120,'Pro قاعدة الأغذية'!$C$5:$C$604,0),""))</f>
        <v/>
      </c>
    </row>
    <row r="121" customFormat="false" ht="15" hidden="false" customHeight="false" outlineLevel="0" collapsed="false">
      <c r="A121" s="24"/>
      <c r="B121" s="5"/>
      <c r="C121" s="18"/>
      <c r="D121" s="19" t="str">
        <f aca="false">IF(OR($S121="",N($C121)=0),"",$C121/100*N(INDEX('Pro قاعدة الأغذية'!$F$5:$F$604,$S121)))</f>
        <v/>
      </c>
      <c r="E121" s="22" t="str">
        <f aca="false">IF(OR($S121="",N($C121)=0),"",$C121/100*N(INDEX('Pro قاعدة الأغذية'!$G$5:$G$604,$S121)))</f>
        <v/>
      </c>
      <c r="F121" s="22" t="str">
        <f aca="false">IF(OR($S121="",N($C121)=0),"",$C121/100*N(INDEX('Pro قاعدة الأغذية'!$H$5:$H$604,$S121)))</f>
        <v/>
      </c>
      <c r="G121" s="22" t="str">
        <f aca="false">IF(OR($S121="",N($C121)=0),"",$C121/100*N(INDEX('Pro قاعدة الأغذية'!$I$5:$I$604,$S121)))</f>
        <v/>
      </c>
      <c r="H121" s="22" t="str">
        <f aca="false">IF(OR($S121="",N($C121)=0),"",$C121/100*N(INDEX('Pro قاعدة الأغذية'!$J$5:$J$604,$S121)))</f>
        <v/>
      </c>
      <c r="I121" s="19" t="str">
        <f aca="false">IF(OR($S121="",N($C121)=0),"",$C121/100*N(INDEX('Pro قاعدة الأغذية'!$L$5:$L$604,$S121)))</f>
        <v/>
      </c>
      <c r="J121" s="30" t="str">
        <f aca="false">IF($S121="","",INDEX('Pro قاعدة الأغذية'!$E$5:$E$604,$S121))</f>
        <v/>
      </c>
      <c r="S121" s="31" t="str">
        <f aca="false">IF(B121="","",IFERROR(MATCH(B121,'Pro قاعدة الأغذية'!$C$5:$C$604,0),""))</f>
        <v/>
      </c>
    </row>
    <row r="122" customFormat="false" ht="15" hidden="false" customHeight="false" outlineLevel="0" collapsed="false">
      <c r="A122" s="24"/>
      <c r="B122" s="32" t="s">
        <v>91</v>
      </c>
      <c r="C122" s="33" t="n">
        <f aca="false">SUM(C116:C121)</f>
        <v>0</v>
      </c>
      <c r="D122" s="33" t="n">
        <f aca="false">SUM(D116:D121)</f>
        <v>0</v>
      </c>
      <c r="E122" s="33" t="n">
        <f aca="false">SUM(E116:E121)</f>
        <v>0</v>
      </c>
      <c r="F122" s="33" t="n">
        <f aca="false">SUM(F116:F121)</f>
        <v>0</v>
      </c>
      <c r="G122" s="33" t="n">
        <f aca="false">SUM(G116:G121)</f>
        <v>0</v>
      </c>
      <c r="H122" s="34" t="n">
        <f aca="false">SUM(H116:H121)</f>
        <v>0</v>
      </c>
      <c r="I122" s="33" t="n">
        <f aca="false">SUM(I116:I121)</f>
        <v>0</v>
      </c>
      <c r="K122" s="35" t="n">
        <f aca="false">IF(AND(('Pro إعدادات'!$C$35="نعم"),IF($T$100=1,'Pro إعدادات'!$G$39,'Pro إعدادات'!$D$39)&gt;0),'Pro ملف الرياضي'!$H$25*IF($T$100=1,'Pro إعدادات'!$G$35,'Pro إعدادات'!$D$35)/IF($T$100=1,'Pro إعدادات'!$G$39,'Pro إعدادات'!$D$39),0)</f>
        <v>43.2</v>
      </c>
      <c r="L122" s="35" t="n">
        <f aca="false">IF(AND(('Pro إعدادات'!$C$35="نعم"),IF($T$100=1,'Pro إعدادات'!$H$39,'Pro إعدادات'!$E$39)&gt;0),'Pro ملف الرياضي'!$I$25*IF($T$100=1,'Pro إعدادات'!$H$35,'Pro إعدادات'!$E$35)/IF($T$100=1,'Pro إعدادات'!$H$39,'Pro إعدادات'!$E$39),0)</f>
        <v>72</v>
      </c>
      <c r="M122" s="35" t="n">
        <f aca="false">IF(AND(('Pro إعدادات'!$C$35="نعم"),IF($T$100=1,'Pro إعدادات'!$I$39,'Pro إعدادات'!$F$39)&gt;0),'Pro ملف الرياضي'!$J$25*IF($T$100=1,'Pro إعدادات'!$I$35,'Pro إعدادات'!$F$35)/IF($T$100=1,'Pro إعدادات'!$I$39,'Pro إعدادات'!$F$39),0)</f>
        <v>21.6</v>
      </c>
      <c r="N122" s="35" t="n">
        <f aca="false">4*K122+4*L122+9*M122</f>
        <v>655.2</v>
      </c>
      <c r="O122" s="21" t="n">
        <f aca="false">E122-K122</f>
        <v>-43.2</v>
      </c>
      <c r="P122" s="21" t="n">
        <f aca="false">F122-L122</f>
        <v>-72</v>
      </c>
      <c r="Q122" s="21" t="n">
        <f aca="false">G122-M122</f>
        <v>-21.6</v>
      </c>
    </row>
    <row r="123" customFormat="false" ht="15" hidden="false" customHeight="false" outlineLevel="0" collapsed="false">
      <c r="A123" s="14" t="str">
        <f aca="false">'Pro إعدادات'!A36&amp;" ("&amp;'Pro إعدادات'!B36&amp;")"</f>
        <v>سناك 2 / بعد التدريب (16:30)</v>
      </c>
      <c r="B123" s="5"/>
      <c r="C123" s="18"/>
      <c r="D123" s="19" t="str">
        <f aca="false">IF(OR($S123="",N($C123)=0),"",$C123/100*N(INDEX('Pro قاعدة الأغذية'!$F$5:$F$604,$S123)))</f>
        <v/>
      </c>
      <c r="E123" s="22" t="str">
        <f aca="false">IF(OR($S123="",N($C123)=0),"",$C123/100*N(INDEX('Pro قاعدة الأغذية'!$G$5:$G$604,$S123)))</f>
        <v/>
      </c>
      <c r="F123" s="22" t="str">
        <f aca="false">IF(OR($S123="",N($C123)=0),"",$C123/100*N(INDEX('Pro قاعدة الأغذية'!$H$5:$H$604,$S123)))</f>
        <v/>
      </c>
      <c r="G123" s="22" t="str">
        <f aca="false">IF(OR($S123="",N($C123)=0),"",$C123/100*N(INDEX('Pro قاعدة الأغذية'!$I$5:$I$604,$S123)))</f>
        <v/>
      </c>
      <c r="H123" s="22" t="str">
        <f aca="false">IF(OR($S123="",N($C123)=0),"",$C123/100*N(INDEX('Pro قاعدة الأغذية'!$J$5:$J$604,$S123)))</f>
        <v/>
      </c>
      <c r="I123" s="19" t="str">
        <f aca="false">IF(OR($S123="",N($C123)=0),"",$C123/100*N(INDEX('Pro قاعدة الأغذية'!$L$5:$L$604,$S123)))</f>
        <v/>
      </c>
      <c r="J123" s="30" t="str">
        <f aca="false">IF($S123="","",INDEX('Pro قاعدة الأغذية'!$E$5:$E$604,$S123))</f>
        <v/>
      </c>
      <c r="S123" s="31" t="str">
        <f aca="false">IF(B123="","",IFERROR(MATCH(B123,'Pro قاعدة الأغذية'!$C$5:$C$604,0),""))</f>
        <v/>
      </c>
    </row>
    <row r="124" customFormat="false" ht="15" hidden="false" customHeight="false" outlineLevel="0" collapsed="false">
      <c r="A124" s="24"/>
      <c r="B124" s="5"/>
      <c r="C124" s="18"/>
      <c r="D124" s="19" t="str">
        <f aca="false">IF(OR($S124="",N($C124)=0),"",$C124/100*N(INDEX('Pro قاعدة الأغذية'!$F$5:$F$604,$S124)))</f>
        <v/>
      </c>
      <c r="E124" s="22" t="str">
        <f aca="false">IF(OR($S124="",N($C124)=0),"",$C124/100*N(INDEX('Pro قاعدة الأغذية'!$G$5:$G$604,$S124)))</f>
        <v/>
      </c>
      <c r="F124" s="22" t="str">
        <f aca="false">IF(OR($S124="",N($C124)=0),"",$C124/100*N(INDEX('Pro قاعدة الأغذية'!$H$5:$H$604,$S124)))</f>
        <v/>
      </c>
      <c r="G124" s="22" t="str">
        <f aca="false">IF(OR($S124="",N($C124)=0),"",$C124/100*N(INDEX('Pro قاعدة الأغذية'!$I$5:$I$604,$S124)))</f>
        <v/>
      </c>
      <c r="H124" s="22" t="str">
        <f aca="false">IF(OR($S124="",N($C124)=0),"",$C124/100*N(INDEX('Pro قاعدة الأغذية'!$J$5:$J$604,$S124)))</f>
        <v/>
      </c>
      <c r="I124" s="19" t="str">
        <f aca="false">IF(OR($S124="",N($C124)=0),"",$C124/100*N(INDEX('Pro قاعدة الأغذية'!$L$5:$L$604,$S124)))</f>
        <v/>
      </c>
      <c r="J124" s="30" t="str">
        <f aca="false">IF($S124="","",INDEX('Pro قاعدة الأغذية'!$E$5:$E$604,$S124))</f>
        <v/>
      </c>
      <c r="S124" s="31" t="str">
        <f aca="false">IF(B124="","",IFERROR(MATCH(B124,'Pro قاعدة الأغذية'!$C$5:$C$604,0),""))</f>
        <v/>
      </c>
    </row>
    <row r="125" customFormat="false" ht="15" hidden="false" customHeight="false" outlineLevel="0" collapsed="false">
      <c r="A125" s="24"/>
      <c r="B125" s="5"/>
      <c r="C125" s="18"/>
      <c r="D125" s="19" t="str">
        <f aca="false">IF(OR($S125="",N($C125)=0),"",$C125/100*N(INDEX('Pro قاعدة الأغذية'!$F$5:$F$604,$S125)))</f>
        <v/>
      </c>
      <c r="E125" s="22" t="str">
        <f aca="false">IF(OR($S125="",N($C125)=0),"",$C125/100*N(INDEX('Pro قاعدة الأغذية'!$G$5:$G$604,$S125)))</f>
        <v/>
      </c>
      <c r="F125" s="22" t="str">
        <f aca="false">IF(OR($S125="",N($C125)=0),"",$C125/100*N(INDEX('Pro قاعدة الأغذية'!$H$5:$H$604,$S125)))</f>
        <v/>
      </c>
      <c r="G125" s="22" t="str">
        <f aca="false">IF(OR($S125="",N($C125)=0),"",$C125/100*N(INDEX('Pro قاعدة الأغذية'!$I$5:$I$604,$S125)))</f>
        <v/>
      </c>
      <c r="H125" s="22" t="str">
        <f aca="false">IF(OR($S125="",N($C125)=0),"",$C125/100*N(INDEX('Pro قاعدة الأغذية'!$J$5:$J$604,$S125)))</f>
        <v/>
      </c>
      <c r="I125" s="19" t="str">
        <f aca="false">IF(OR($S125="",N($C125)=0),"",$C125/100*N(INDEX('Pro قاعدة الأغذية'!$L$5:$L$604,$S125)))</f>
        <v/>
      </c>
      <c r="J125" s="30" t="str">
        <f aca="false">IF($S125="","",INDEX('Pro قاعدة الأغذية'!$E$5:$E$604,$S125))</f>
        <v/>
      </c>
      <c r="S125" s="31" t="str">
        <f aca="false">IF(B125="","",IFERROR(MATCH(B125,'Pro قاعدة الأغذية'!$C$5:$C$604,0),""))</f>
        <v/>
      </c>
    </row>
    <row r="126" customFormat="false" ht="15" hidden="false" customHeight="false" outlineLevel="0" collapsed="false">
      <c r="A126" s="24"/>
      <c r="B126" s="5"/>
      <c r="C126" s="18"/>
      <c r="D126" s="19" t="str">
        <f aca="false">IF(OR($S126="",N($C126)=0),"",$C126/100*N(INDEX('Pro قاعدة الأغذية'!$F$5:$F$604,$S126)))</f>
        <v/>
      </c>
      <c r="E126" s="22" t="str">
        <f aca="false">IF(OR($S126="",N($C126)=0),"",$C126/100*N(INDEX('Pro قاعدة الأغذية'!$G$5:$G$604,$S126)))</f>
        <v/>
      </c>
      <c r="F126" s="22" t="str">
        <f aca="false">IF(OR($S126="",N($C126)=0),"",$C126/100*N(INDEX('Pro قاعدة الأغذية'!$H$5:$H$604,$S126)))</f>
        <v/>
      </c>
      <c r="G126" s="22" t="str">
        <f aca="false">IF(OR($S126="",N($C126)=0),"",$C126/100*N(INDEX('Pro قاعدة الأغذية'!$I$5:$I$604,$S126)))</f>
        <v/>
      </c>
      <c r="H126" s="22" t="str">
        <f aca="false">IF(OR($S126="",N($C126)=0),"",$C126/100*N(INDEX('Pro قاعدة الأغذية'!$J$5:$J$604,$S126)))</f>
        <v/>
      </c>
      <c r="I126" s="19" t="str">
        <f aca="false">IF(OR($S126="",N($C126)=0),"",$C126/100*N(INDEX('Pro قاعدة الأغذية'!$L$5:$L$604,$S126)))</f>
        <v/>
      </c>
      <c r="J126" s="30" t="str">
        <f aca="false">IF($S126="","",INDEX('Pro قاعدة الأغذية'!$E$5:$E$604,$S126))</f>
        <v/>
      </c>
      <c r="S126" s="31" t="str">
        <f aca="false">IF(B126="","",IFERROR(MATCH(B126,'Pro قاعدة الأغذية'!$C$5:$C$604,0),""))</f>
        <v/>
      </c>
    </row>
    <row r="127" customFormat="false" ht="15" hidden="false" customHeight="false" outlineLevel="0" collapsed="false">
      <c r="A127" s="24"/>
      <c r="B127" s="5"/>
      <c r="C127" s="18"/>
      <c r="D127" s="19" t="str">
        <f aca="false">IF(OR($S127="",N($C127)=0),"",$C127/100*N(INDEX('Pro قاعدة الأغذية'!$F$5:$F$604,$S127)))</f>
        <v/>
      </c>
      <c r="E127" s="22" t="str">
        <f aca="false">IF(OR($S127="",N($C127)=0),"",$C127/100*N(INDEX('Pro قاعدة الأغذية'!$G$5:$G$604,$S127)))</f>
        <v/>
      </c>
      <c r="F127" s="22" t="str">
        <f aca="false">IF(OR($S127="",N($C127)=0),"",$C127/100*N(INDEX('Pro قاعدة الأغذية'!$H$5:$H$604,$S127)))</f>
        <v/>
      </c>
      <c r="G127" s="22" t="str">
        <f aca="false">IF(OR($S127="",N($C127)=0),"",$C127/100*N(INDEX('Pro قاعدة الأغذية'!$I$5:$I$604,$S127)))</f>
        <v/>
      </c>
      <c r="H127" s="22" t="str">
        <f aca="false">IF(OR($S127="",N($C127)=0),"",$C127/100*N(INDEX('Pro قاعدة الأغذية'!$J$5:$J$604,$S127)))</f>
        <v/>
      </c>
      <c r="I127" s="19" t="str">
        <f aca="false">IF(OR($S127="",N($C127)=0),"",$C127/100*N(INDEX('Pro قاعدة الأغذية'!$L$5:$L$604,$S127)))</f>
        <v/>
      </c>
      <c r="J127" s="30" t="str">
        <f aca="false">IF($S127="","",INDEX('Pro قاعدة الأغذية'!$E$5:$E$604,$S127))</f>
        <v/>
      </c>
      <c r="S127" s="31" t="str">
        <f aca="false">IF(B127="","",IFERROR(MATCH(B127,'Pro قاعدة الأغذية'!$C$5:$C$604,0),""))</f>
        <v/>
      </c>
    </row>
    <row r="128" customFormat="false" ht="15" hidden="false" customHeight="false" outlineLevel="0" collapsed="false">
      <c r="A128" s="24"/>
      <c r="B128" s="5"/>
      <c r="C128" s="18"/>
      <c r="D128" s="19" t="str">
        <f aca="false">IF(OR($S128="",N($C128)=0),"",$C128/100*N(INDEX('Pro قاعدة الأغذية'!$F$5:$F$604,$S128)))</f>
        <v/>
      </c>
      <c r="E128" s="22" t="str">
        <f aca="false">IF(OR($S128="",N($C128)=0),"",$C128/100*N(INDEX('Pro قاعدة الأغذية'!$G$5:$G$604,$S128)))</f>
        <v/>
      </c>
      <c r="F128" s="22" t="str">
        <f aca="false">IF(OR($S128="",N($C128)=0),"",$C128/100*N(INDEX('Pro قاعدة الأغذية'!$H$5:$H$604,$S128)))</f>
        <v/>
      </c>
      <c r="G128" s="22" t="str">
        <f aca="false">IF(OR($S128="",N($C128)=0),"",$C128/100*N(INDEX('Pro قاعدة الأغذية'!$I$5:$I$604,$S128)))</f>
        <v/>
      </c>
      <c r="H128" s="22" t="str">
        <f aca="false">IF(OR($S128="",N($C128)=0),"",$C128/100*N(INDEX('Pro قاعدة الأغذية'!$J$5:$J$604,$S128)))</f>
        <v/>
      </c>
      <c r="I128" s="19" t="str">
        <f aca="false">IF(OR($S128="",N($C128)=0),"",$C128/100*N(INDEX('Pro قاعدة الأغذية'!$L$5:$L$604,$S128)))</f>
        <v/>
      </c>
      <c r="J128" s="30" t="str">
        <f aca="false">IF($S128="","",INDEX('Pro قاعدة الأغذية'!$E$5:$E$604,$S128))</f>
        <v/>
      </c>
      <c r="S128" s="31" t="str">
        <f aca="false">IF(B128="","",IFERROR(MATCH(B128,'Pro قاعدة الأغذية'!$C$5:$C$604,0),""))</f>
        <v/>
      </c>
    </row>
    <row r="129" customFormat="false" ht="15" hidden="false" customHeight="false" outlineLevel="0" collapsed="false">
      <c r="A129" s="24"/>
      <c r="B129" s="32" t="s">
        <v>91</v>
      </c>
      <c r="C129" s="33" t="n">
        <f aca="false">SUM(C123:C128)</f>
        <v>0</v>
      </c>
      <c r="D129" s="33" t="n">
        <f aca="false">SUM(D123:D128)</f>
        <v>0</v>
      </c>
      <c r="E129" s="33" t="n">
        <f aca="false">SUM(E123:E128)</f>
        <v>0</v>
      </c>
      <c r="F129" s="33" t="n">
        <f aca="false">SUM(F123:F128)</f>
        <v>0</v>
      </c>
      <c r="G129" s="33" t="n">
        <f aca="false">SUM(G123:G128)</f>
        <v>0</v>
      </c>
      <c r="H129" s="34" t="n">
        <f aca="false">SUM(H123:H128)</f>
        <v>0</v>
      </c>
      <c r="I129" s="33" t="n">
        <f aca="false">SUM(I123:I128)</f>
        <v>0</v>
      </c>
      <c r="K129" s="35" t="n">
        <f aca="false">IF(AND(('Pro إعدادات'!$C$36="نعم"),IF($T$100=1,'Pro إعدادات'!$G$39,'Pro إعدادات'!$D$39)&gt;0),'Pro ملف الرياضي'!$H$25*IF($T$100=1,'Pro إعدادات'!$G$36,'Pro إعدادات'!$D$36)/IF($T$100=1,'Pro إعدادات'!$G$39,'Pro إعدادات'!$D$39),0)</f>
        <v>14.4</v>
      </c>
      <c r="L129" s="35" t="n">
        <f aca="false">IF(AND(('Pro إعدادات'!$C$36="نعم"),IF($T$100=1,'Pro إعدادات'!$H$39,'Pro إعدادات'!$E$39)&gt;0),'Pro ملف الرياضي'!$I$25*IF($T$100=1,'Pro إعدادات'!$H$36,'Pro إعدادات'!$E$36)/IF($T$100=1,'Pro إعدادات'!$H$39,'Pro إعدادات'!$E$39),0)</f>
        <v>24</v>
      </c>
      <c r="M129" s="35" t="n">
        <f aca="false">IF(AND(('Pro إعدادات'!$C$36="نعم"),IF($T$100=1,'Pro إعدادات'!$I$39,'Pro إعدادات'!$F$39)&gt;0),'Pro ملف الرياضي'!$J$25*IF($T$100=1,'Pro إعدادات'!$I$36,'Pro إعدادات'!$F$36)/IF($T$100=1,'Pro إعدادات'!$I$39,'Pro إعدادات'!$F$39),0)</f>
        <v>7.2</v>
      </c>
      <c r="N129" s="35" t="n">
        <f aca="false">4*K129+4*L129+9*M129</f>
        <v>218.4</v>
      </c>
      <c r="O129" s="21" t="n">
        <f aca="false">E129-K129</f>
        <v>-14.4</v>
      </c>
      <c r="P129" s="21" t="n">
        <f aca="false">F129-L129</f>
        <v>-24</v>
      </c>
      <c r="Q129" s="21" t="n">
        <f aca="false">G129-M129</f>
        <v>-7.2</v>
      </c>
    </row>
    <row r="130" customFormat="false" ht="15" hidden="false" customHeight="false" outlineLevel="0" collapsed="false">
      <c r="A130" s="14" t="str">
        <f aca="false">'Pro إعدادات'!A37&amp;" ("&amp;'Pro إعدادات'!B37&amp;")"</f>
        <v>العشاء (20:00)</v>
      </c>
      <c r="B130" s="5"/>
      <c r="C130" s="18"/>
      <c r="D130" s="19" t="str">
        <f aca="false">IF(OR($S130="",N($C130)=0),"",$C130/100*N(INDEX('Pro قاعدة الأغذية'!$F$5:$F$604,$S130)))</f>
        <v/>
      </c>
      <c r="E130" s="22" t="str">
        <f aca="false">IF(OR($S130="",N($C130)=0),"",$C130/100*N(INDEX('Pro قاعدة الأغذية'!$G$5:$G$604,$S130)))</f>
        <v/>
      </c>
      <c r="F130" s="22" t="str">
        <f aca="false">IF(OR($S130="",N($C130)=0),"",$C130/100*N(INDEX('Pro قاعدة الأغذية'!$H$5:$H$604,$S130)))</f>
        <v/>
      </c>
      <c r="G130" s="22" t="str">
        <f aca="false">IF(OR($S130="",N($C130)=0),"",$C130/100*N(INDEX('Pro قاعدة الأغذية'!$I$5:$I$604,$S130)))</f>
        <v/>
      </c>
      <c r="H130" s="22" t="str">
        <f aca="false">IF(OR($S130="",N($C130)=0),"",$C130/100*N(INDEX('Pro قاعدة الأغذية'!$J$5:$J$604,$S130)))</f>
        <v/>
      </c>
      <c r="I130" s="19" t="str">
        <f aca="false">IF(OR($S130="",N($C130)=0),"",$C130/100*N(INDEX('Pro قاعدة الأغذية'!$L$5:$L$604,$S130)))</f>
        <v/>
      </c>
      <c r="J130" s="30" t="str">
        <f aca="false">IF($S130="","",INDEX('Pro قاعدة الأغذية'!$E$5:$E$604,$S130))</f>
        <v/>
      </c>
      <c r="S130" s="31" t="str">
        <f aca="false">IF(B130="","",IFERROR(MATCH(B130,'Pro قاعدة الأغذية'!$C$5:$C$604,0),""))</f>
        <v/>
      </c>
    </row>
    <row r="131" customFormat="false" ht="15" hidden="false" customHeight="false" outlineLevel="0" collapsed="false">
      <c r="A131" s="24"/>
      <c r="B131" s="5"/>
      <c r="C131" s="18"/>
      <c r="D131" s="19" t="str">
        <f aca="false">IF(OR($S131="",N($C131)=0),"",$C131/100*N(INDEX('Pro قاعدة الأغذية'!$F$5:$F$604,$S131)))</f>
        <v/>
      </c>
      <c r="E131" s="22" t="str">
        <f aca="false">IF(OR($S131="",N($C131)=0),"",$C131/100*N(INDEX('Pro قاعدة الأغذية'!$G$5:$G$604,$S131)))</f>
        <v/>
      </c>
      <c r="F131" s="22" t="str">
        <f aca="false">IF(OR($S131="",N($C131)=0),"",$C131/100*N(INDEX('Pro قاعدة الأغذية'!$H$5:$H$604,$S131)))</f>
        <v/>
      </c>
      <c r="G131" s="22" t="str">
        <f aca="false">IF(OR($S131="",N($C131)=0),"",$C131/100*N(INDEX('Pro قاعدة الأغذية'!$I$5:$I$604,$S131)))</f>
        <v/>
      </c>
      <c r="H131" s="22" t="str">
        <f aca="false">IF(OR($S131="",N($C131)=0),"",$C131/100*N(INDEX('Pro قاعدة الأغذية'!$J$5:$J$604,$S131)))</f>
        <v/>
      </c>
      <c r="I131" s="19" t="str">
        <f aca="false">IF(OR($S131="",N($C131)=0),"",$C131/100*N(INDEX('Pro قاعدة الأغذية'!$L$5:$L$604,$S131)))</f>
        <v/>
      </c>
      <c r="J131" s="30" t="str">
        <f aca="false">IF($S131="","",INDEX('Pro قاعدة الأغذية'!$E$5:$E$604,$S131))</f>
        <v/>
      </c>
      <c r="S131" s="31" t="str">
        <f aca="false">IF(B131="","",IFERROR(MATCH(B131,'Pro قاعدة الأغذية'!$C$5:$C$604,0),""))</f>
        <v/>
      </c>
    </row>
    <row r="132" customFormat="false" ht="15" hidden="false" customHeight="false" outlineLevel="0" collapsed="false">
      <c r="A132" s="24"/>
      <c r="B132" s="5"/>
      <c r="C132" s="18"/>
      <c r="D132" s="19" t="str">
        <f aca="false">IF(OR($S132="",N($C132)=0),"",$C132/100*N(INDEX('Pro قاعدة الأغذية'!$F$5:$F$604,$S132)))</f>
        <v/>
      </c>
      <c r="E132" s="22" t="str">
        <f aca="false">IF(OR($S132="",N($C132)=0),"",$C132/100*N(INDEX('Pro قاعدة الأغذية'!$G$5:$G$604,$S132)))</f>
        <v/>
      </c>
      <c r="F132" s="22" t="str">
        <f aca="false">IF(OR($S132="",N($C132)=0),"",$C132/100*N(INDEX('Pro قاعدة الأغذية'!$H$5:$H$604,$S132)))</f>
        <v/>
      </c>
      <c r="G132" s="22" t="str">
        <f aca="false">IF(OR($S132="",N($C132)=0),"",$C132/100*N(INDEX('Pro قاعدة الأغذية'!$I$5:$I$604,$S132)))</f>
        <v/>
      </c>
      <c r="H132" s="22" t="str">
        <f aca="false">IF(OR($S132="",N($C132)=0),"",$C132/100*N(INDEX('Pro قاعدة الأغذية'!$J$5:$J$604,$S132)))</f>
        <v/>
      </c>
      <c r="I132" s="19" t="str">
        <f aca="false">IF(OR($S132="",N($C132)=0),"",$C132/100*N(INDEX('Pro قاعدة الأغذية'!$L$5:$L$604,$S132)))</f>
        <v/>
      </c>
      <c r="J132" s="30" t="str">
        <f aca="false">IF($S132="","",INDEX('Pro قاعدة الأغذية'!$E$5:$E$604,$S132))</f>
        <v/>
      </c>
      <c r="S132" s="31" t="str">
        <f aca="false">IF(B132="","",IFERROR(MATCH(B132,'Pro قاعدة الأغذية'!$C$5:$C$604,0),""))</f>
        <v/>
      </c>
    </row>
    <row r="133" customFormat="false" ht="15" hidden="false" customHeight="false" outlineLevel="0" collapsed="false">
      <c r="A133" s="24"/>
      <c r="B133" s="5"/>
      <c r="C133" s="18"/>
      <c r="D133" s="19" t="str">
        <f aca="false">IF(OR($S133="",N($C133)=0),"",$C133/100*N(INDEX('Pro قاعدة الأغذية'!$F$5:$F$604,$S133)))</f>
        <v/>
      </c>
      <c r="E133" s="22" t="str">
        <f aca="false">IF(OR($S133="",N($C133)=0),"",$C133/100*N(INDEX('Pro قاعدة الأغذية'!$G$5:$G$604,$S133)))</f>
        <v/>
      </c>
      <c r="F133" s="22" t="str">
        <f aca="false">IF(OR($S133="",N($C133)=0),"",$C133/100*N(INDEX('Pro قاعدة الأغذية'!$H$5:$H$604,$S133)))</f>
        <v/>
      </c>
      <c r="G133" s="22" t="str">
        <f aca="false">IF(OR($S133="",N($C133)=0),"",$C133/100*N(INDEX('Pro قاعدة الأغذية'!$I$5:$I$604,$S133)))</f>
        <v/>
      </c>
      <c r="H133" s="22" t="str">
        <f aca="false">IF(OR($S133="",N($C133)=0),"",$C133/100*N(INDEX('Pro قاعدة الأغذية'!$J$5:$J$604,$S133)))</f>
        <v/>
      </c>
      <c r="I133" s="19" t="str">
        <f aca="false">IF(OR($S133="",N($C133)=0),"",$C133/100*N(INDEX('Pro قاعدة الأغذية'!$L$5:$L$604,$S133)))</f>
        <v/>
      </c>
      <c r="J133" s="30" t="str">
        <f aca="false">IF($S133="","",INDEX('Pro قاعدة الأغذية'!$E$5:$E$604,$S133))</f>
        <v/>
      </c>
      <c r="S133" s="31" t="str">
        <f aca="false">IF(B133="","",IFERROR(MATCH(B133,'Pro قاعدة الأغذية'!$C$5:$C$604,0),""))</f>
        <v/>
      </c>
    </row>
    <row r="134" customFormat="false" ht="15" hidden="false" customHeight="false" outlineLevel="0" collapsed="false">
      <c r="A134" s="24"/>
      <c r="B134" s="5"/>
      <c r="C134" s="18"/>
      <c r="D134" s="19" t="str">
        <f aca="false">IF(OR($S134="",N($C134)=0),"",$C134/100*N(INDEX('Pro قاعدة الأغذية'!$F$5:$F$604,$S134)))</f>
        <v/>
      </c>
      <c r="E134" s="22" t="str">
        <f aca="false">IF(OR($S134="",N($C134)=0),"",$C134/100*N(INDEX('Pro قاعدة الأغذية'!$G$5:$G$604,$S134)))</f>
        <v/>
      </c>
      <c r="F134" s="22" t="str">
        <f aca="false">IF(OR($S134="",N($C134)=0),"",$C134/100*N(INDEX('Pro قاعدة الأغذية'!$H$5:$H$604,$S134)))</f>
        <v/>
      </c>
      <c r="G134" s="22" t="str">
        <f aca="false">IF(OR($S134="",N($C134)=0),"",$C134/100*N(INDEX('Pro قاعدة الأغذية'!$I$5:$I$604,$S134)))</f>
        <v/>
      </c>
      <c r="H134" s="22" t="str">
        <f aca="false">IF(OR($S134="",N($C134)=0),"",$C134/100*N(INDEX('Pro قاعدة الأغذية'!$J$5:$J$604,$S134)))</f>
        <v/>
      </c>
      <c r="I134" s="19" t="str">
        <f aca="false">IF(OR($S134="",N($C134)=0),"",$C134/100*N(INDEX('Pro قاعدة الأغذية'!$L$5:$L$604,$S134)))</f>
        <v/>
      </c>
      <c r="J134" s="30" t="str">
        <f aca="false">IF($S134="","",INDEX('Pro قاعدة الأغذية'!$E$5:$E$604,$S134))</f>
        <v/>
      </c>
      <c r="S134" s="31" t="str">
        <f aca="false">IF(B134="","",IFERROR(MATCH(B134,'Pro قاعدة الأغذية'!$C$5:$C$604,0),""))</f>
        <v/>
      </c>
    </row>
    <row r="135" customFormat="false" ht="15" hidden="false" customHeight="false" outlineLevel="0" collapsed="false">
      <c r="A135" s="24"/>
      <c r="B135" s="5"/>
      <c r="C135" s="18"/>
      <c r="D135" s="19" t="str">
        <f aca="false">IF(OR($S135="",N($C135)=0),"",$C135/100*N(INDEX('Pro قاعدة الأغذية'!$F$5:$F$604,$S135)))</f>
        <v/>
      </c>
      <c r="E135" s="22" t="str">
        <f aca="false">IF(OR($S135="",N($C135)=0),"",$C135/100*N(INDEX('Pro قاعدة الأغذية'!$G$5:$G$604,$S135)))</f>
        <v/>
      </c>
      <c r="F135" s="22" t="str">
        <f aca="false">IF(OR($S135="",N($C135)=0),"",$C135/100*N(INDEX('Pro قاعدة الأغذية'!$H$5:$H$604,$S135)))</f>
        <v/>
      </c>
      <c r="G135" s="22" t="str">
        <f aca="false">IF(OR($S135="",N($C135)=0),"",$C135/100*N(INDEX('Pro قاعدة الأغذية'!$I$5:$I$604,$S135)))</f>
        <v/>
      </c>
      <c r="H135" s="22" t="str">
        <f aca="false">IF(OR($S135="",N($C135)=0),"",$C135/100*N(INDEX('Pro قاعدة الأغذية'!$J$5:$J$604,$S135)))</f>
        <v/>
      </c>
      <c r="I135" s="19" t="str">
        <f aca="false">IF(OR($S135="",N($C135)=0),"",$C135/100*N(INDEX('Pro قاعدة الأغذية'!$L$5:$L$604,$S135)))</f>
        <v/>
      </c>
      <c r="J135" s="30" t="str">
        <f aca="false">IF($S135="","",INDEX('Pro قاعدة الأغذية'!$E$5:$E$604,$S135))</f>
        <v/>
      </c>
      <c r="S135" s="31" t="str">
        <f aca="false">IF(B135="","",IFERROR(MATCH(B135,'Pro قاعدة الأغذية'!$C$5:$C$604,0),""))</f>
        <v/>
      </c>
    </row>
    <row r="136" customFormat="false" ht="15" hidden="false" customHeight="false" outlineLevel="0" collapsed="false">
      <c r="A136" s="24"/>
      <c r="B136" s="32" t="s">
        <v>91</v>
      </c>
      <c r="C136" s="33" t="n">
        <f aca="false">SUM(C130:C135)</f>
        <v>0</v>
      </c>
      <c r="D136" s="33" t="n">
        <f aca="false">SUM(D130:D135)</f>
        <v>0</v>
      </c>
      <c r="E136" s="33" t="n">
        <f aca="false">SUM(E130:E135)</f>
        <v>0</v>
      </c>
      <c r="F136" s="33" t="n">
        <f aca="false">SUM(F130:F135)</f>
        <v>0</v>
      </c>
      <c r="G136" s="33" t="n">
        <f aca="false">SUM(G130:G135)</f>
        <v>0</v>
      </c>
      <c r="H136" s="34" t="n">
        <f aca="false">SUM(H130:H135)</f>
        <v>0</v>
      </c>
      <c r="I136" s="33" t="n">
        <f aca="false">SUM(I130:I135)</f>
        <v>0</v>
      </c>
      <c r="K136" s="35" t="n">
        <f aca="false">IF(AND(('Pro إعدادات'!$C$37="نعم"),IF($T$100=1,'Pro إعدادات'!$G$39,'Pro إعدادات'!$D$39)&gt;0),'Pro ملف الرياضي'!$H$25*IF($T$100=1,'Pro إعدادات'!$G$37,'Pro إعدادات'!$D$37)/IF($T$100=1,'Pro إعدادات'!$G$39,'Pro إعدادات'!$D$39),0)</f>
        <v>36</v>
      </c>
      <c r="L136" s="35" t="n">
        <f aca="false">IF(AND(('Pro إعدادات'!$C$37="نعم"),IF($T$100=1,'Pro إعدادات'!$H$39,'Pro إعدادات'!$E$39)&gt;0),'Pro ملف الرياضي'!$I$25*IF($T$100=1,'Pro إعدادات'!$H$37,'Pro إعدادات'!$E$37)/IF($T$100=1,'Pro إعدادات'!$H$39,'Pro إعدادات'!$E$39),0)</f>
        <v>60</v>
      </c>
      <c r="M136" s="35" t="n">
        <f aca="false">IF(AND(('Pro إعدادات'!$C$37="نعم"),IF($T$100=1,'Pro إعدادات'!$I$39,'Pro إعدادات'!$F$39)&gt;0),'Pro ملف الرياضي'!$J$25*IF($T$100=1,'Pro إعدادات'!$I$37,'Pro إعدادات'!$F$37)/IF($T$100=1,'Pro إعدادات'!$I$39,'Pro إعدادات'!$F$39),0)</f>
        <v>18</v>
      </c>
      <c r="N136" s="35" t="n">
        <f aca="false">4*K136+4*L136+9*M136</f>
        <v>546</v>
      </c>
      <c r="O136" s="21" t="n">
        <f aca="false">E136-K136</f>
        <v>-36</v>
      </c>
      <c r="P136" s="21" t="n">
        <f aca="false">F136-L136</f>
        <v>-60</v>
      </c>
      <c r="Q136" s="21" t="n">
        <f aca="false">G136-M136</f>
        <v>-18</v>
      </c>
    </row>
    <row r="137" customFormat="false" ht="15" hidden="false" customHeight="false" outlineLevel="0" collapsed="false">
      <c r="A137" s="14" t="str">
        <f aca="false">'Pro إعدادات'!A38&amp;" ("&amp;'Pro إعدادات'!B38&amp;")"</f>
        <v>وجبة ليلية (22:30)</v>
      </c>
      <c r="B137" s="5"/>
      <c r="C137" s="18"/>
      <c r="D137" s="19" t="str">
        <f aca="false">IF(OR($S137="",N($C137)=0),"",$C137/100*N(INDEX('Pro قاعدة الأغذية'!$F$5:$F$604,$S137)))</f>
        <v/>
      </c>
      <c r="E137" s="22" t="str">
        <f aca="false">IF(OR($S137="",N($C137)=0),"",$C137/100*N(INDEX('Pro قاعدة الأغذية'!$G$5:$G$604,$S137)))</f>
        <v/>
      </c>
      <c r="F137" s="22" t="str">
        <f aca="false">IF(OR($S137="",N($C137)=0),"",$C137/100*N(INDEX('Pro قاعدة الأغذية'!$H$5:$H$604,$S137)))</f>
        <v/>
      </c>
      <c r="G137" s="22" t="str">
        <f aca="false">IF(OR($S137="",N($C137)=0),"",$C137/100*N(INDEX('Pro قاعدة الأغذية'!$I$5:$I$604,$S137)))</f>
        <v/>
      </c>
      <c r="H137" s="22" t="str">
        <f aca="false">IF(OR($S137="",N($C137)=0),"",$C137/100*N(INDEX('Pro قاعدة الأغذية'!$J$5:$J$604,$S137)))</f>
        <v/>
      </c>
      <c r="I137" s="19" t="str">
        <f aca="false">IF(OR($S137="",N($C137)=0),"",$C137/100*N(INDEX('Pro قاعدة الأغذية'!$L$5:$L$604,$S137)))</f>
        <v/>
      </c>
      <c r="J137" s="30" t="str">
        <f aca="false">IF($S137="","",INDEX('Pro قاعدة الأغذية'!$E$5:$E$604,$S137))</f>
        <v/>
      </c>
      <c r="S137" s="31" t="str">
        <f aca="false">IF(B137="","",IFERROR(MATCH(B137,'Pro قاعدة الأغذية'!$C$5:$C$604,0),""))</f>
        <v/>
      </c>
    </row>
    <row r="138" customFormat="false" ht="15" hidden="false" customHeight="false" outlineLevel="0" collapsed="false">
      <c r="A138" s="24"/>
      <c r="B138" s="5"/>
      <c r="C138" s="18"/>
      <c r="D138" s="19" t="str">
        <f aca="false">IF(OR($S138="",N($C138)=0),"",$C138/100*N(INDEX('Pro قاعدة الأغذية'!$F$5:$F$604,$S138)))</f>
        <v/>
      </c>
      <c r="E138" s="22" t="str">
        <f aca="false">IF(OR($S138="",N($C138)=0),"",$C138/100*N(INDEX('Pro قاعدة الأغذية'!$G$5:$G$604,$S138)))</f>
        <v/>
      </c>
      <c r="F138" s="22" t="str">
        <f aca="false">IF(OR($S138="",N($C138)=0),"",$C138/100*N(INDEX('Pro قاعدة الأغذية'!$H$5:$H$604,$S138)))</f>
        <v/>
      </c>
      <c r="G138" s="22" t="str">
        <f aca="false">IF(OR($S138="",N($C138)=0),"",$C138/100*N(INDEX('Pro قاعدة الأغذية'!$I$5:$I$604,$S138)))</f>
        <v/>
      </c>
      <c r="H138" s="22" t="str">
        <f aca="false">IF(OR($S138="",N($C138)=0),"",$C138/100*N(INDEX('Pro قاعدة الأغذية'!$J$5:$J$604,$S138)))</f>
        <v/>
      </c>
      <c r="I138" s="19" t="str">
        <f aca="false">IF(OR($S138="",N($C138)=0),"",$C138/100*N(INDEX('Pro قاعدة الأغذية'!$L$5:$L$604,$S138)))</f>
        <v/>
      </c>
      <c r="J138" s="30" t="str">
        <f aca="false">IF($S138="","",INDEX('Pro قاعدة الأغذية'!$E$5:$E$604,$S138))</f>
        <v/>
      </c>
      <c r="S138" s="31" t="str">
        <f aca="false">IF(B138="","",IFERROR(MATCH(B138,'Pro قاعدة الأغذية'!$C$5:$C$604,0),""))</f>
        <v/>
      </c>
    </row>
    <row r="139" customFormat="false" ht="15" hidden="false" customHeight="false" outlineLevel="0" collapsed="false">
      <c r="A139" s="24"/>
      <c r="B139" s="5"/>
      <c r="C139" s="18"/>
      <c r="D139" s="19" t="str">
        <f aca="false">IF(OR($S139="",N($C139)=0),"",$C139/100*N(INDEX('Pro قاعدة الأغذية'!$F$5:$F$604,$S139)))</f>
        <v/>
      </c>
      <c r="E139" s="22" t="str">
        <f aca="false">IF(OR($S139="",N($C139)=0),"",$C139/100*N(INDEX('Pro قاعدة الأغذية'!$G$5:$G$604,$S139)))</f>
        <v/>
      </c>
      <c r="F139" s="22" t="str">
        <f aca="false">IF(OR($S139="",N($C139)=0),"",$C139/100*N(INDEX('Pro قاعدة الأغذية'!$H$5:$H$604,$S139)))</f>
        <v/>
      </c>
      <c r="G139" s="22" t="str">
        <f aca="false">IF(OR($S139="",N($C139)=0),"",$C139/100*N(INDEX('Pro قاعدة الأغذية'!$I$5:$I$604,$S139)))</f>
        <v/>
      </c>
      <c r="H139" s="22" t="str">
        <f aca="false">IF(OR($S139="",N($C139)=0),"",$C139/100*N(INDEX('Pro قاعدة الأغذية'!$J$5:$J$604,$S139)))</f>
        <v/>
      </c>
      <c r="I139" s="19" t="str">
        <f aca="false">IF(OR($S139="",N($C139)=0),"",$C139/100*N(INDEX('Pro قاعدة الأغذية'!$L$5:$L$604,$S139)))</f>
        <v/>
      </c>
      <c r="J139" s="30" t="str">
        <f aca="false">IF($S139="","",INDEX('Pro قاعدة الأغذية'!$E$5:$E$604,$S139))</f>
        <v/>
      </c>
      <c r="S139" s="31" t="str">
        <f aca="false">IF(B139="","",IFERROR(MATCH(B139,'Pro قاعدة الأغذية'!$C$5:$C$604,0),""))</f>
        <v/>
      </c>
    </row>
    <row r="140" customFormat="false" ht="15" hidden="false" customHeight="false" outlineLevel="0" collapsed="false">
      <c r="A140" s="24"/>
      <c r="B140" s="5"/>
      <c r="C140" s="18"/>
      <c r="D140" s="19" t="str">
        <f aca="false">IF(OR($S140="",N($C140)=0),"",$C140/100*N(INDEX('Pro قاعدة الأغذية'!$F$5:$F$604,$S140)))</f>
        <v/>
      </c>
      <c r="E140" s="22" t="str">
        <f aca="false">IF(OR($S140="",N($C140)=0),"",$C140/100*N(INDEX('Pro قاعدة الأغذية'!$G$5:$G$604,$S140)))</f>
        <v/>
      </c>
      <c r="F140" s="22" t="str">
        <f aca="false">IF(OR($S140="",N($C140)=0),"",$C140/100*N(INDEX('Pro قاعدة الأغذية'!$H$5:$H$604,$S140)))</f>
        <v/>
      </c>
      <c r="G140" s="22" t="str">
        <f aca="false">IF(OR($S140="",N($C140)=0),"",$C140/100*N(INDEX('Pro قاعدة الأغذية'!$I$5:$I$604,$S140)))</f>
        <v/>
      </c>
      <c r="H140" s="22" t="str">
        <f aca="false">IF(OR($S140="",N($C140)=0),"",$C140/100*N(INDEX('Pro قاعدة الأغذية'!$J$5:$J$604,$S140)))</f>
        <v/>
      </c>
      <c r="I140" s="19" t="str">
        <f aca="false">IF(OR($S140="",N($C140)=0),"",$C140/100*N(INDEX('Pro قاعدة الأغذية'!$L$5:$L$604,$S140)))</f>
        <v/>
      </c>
      <c r="J140" s="30" t="str">
        <f aca="false">IF($S140="","",INDEX('Pro قاعدة الأغذية'!$E$5:$E$604,$S140))</f>
        <v/>
      </c>
      <c r="S140" s="31" t="str">
        <f aca="false">IF(B140="","",IFERROR(MATCH(B140,'Pro قاعدة الأغذية'!$C$5:$C$604,0),""))</f>
        <v/>
      </c>
    </row>
    <row r="141" customFormat="false" ht="15" hidden="false" customHeight="false" outlineLevel="0" collapsed="false">
      <c r="A141" s="24"/>
      <c r="B141" s="5"/>
      <c r="C141" s="18"/>
      <c r="D141" s="19" t="str">
        <f aca="false">IF(OR($S141="",N($C141)=0),"",$C141/100*N(INDEX('Pro قاعدة الأغذية'!$F$5:$F$604,$S141)))</f>
        <v/>
      </c>
      <c r="E141" s="22" t="str">
        <f aca="false">IF(OR($S141="",N($C141)=0),"",$C141/100*N(INDEX('Pro قاعدة الأغذية'!$G$5:$G$604,$S141)))</f>
        <v/>
      </c>
      <c r="F141" s="22" t="str">
        <f aca="false">IF(OR($S141="",N($C141)=0),"",$C141/100*N(INDEX('Pro قاعدة الأغذية'!$H$5:$H$604,$S141)))</f>
        <v/>
      </c>
      <c r="G141" s="22" t="str">
        <f aca="false">IF(OR($S141="",N($C141)=0),"",$C141/100*N(INDEX('Pro قاعدة الأغذية'!$I$5:$I$604,$S141)))</f>
        <v/>
      </c>
      <c r="H141" s="22" t="str">
        <f aca="false">IF(OR($S141="",N($C141)=0),"",$C141/100*N(INDEX('Pro قاعدة الأغذية'!$J$5:$J$604,$S141)))</f>
        <v/>
      </c>
      <c r="I141" s="19" t="str">
        <f aca="false">IF(OR($S141="",N($C141)=0),"",$C141/100*N(INDEX('Pro قاعدة الأغذية'!$L$5:$L$604,$S141)))</f>
        <v/>
      </c>
      <c r="J141" s="30" t="str">
        <f aca="false">IF($S141="","",INDEX('Pro قاعدة الأغذية'!$E$5:$E$604,$S141))</f>
        <v/>
      </c>
      <c r="S141" s="31" t="str">
        <f aca="false">IF(B141="","",IFERROR(MATCH(B141,'Pro قاعدة الأغذية'!$C$5:$C$604,0),""))</f>
        <v/>
      </c>
    </row>
    <row r="142" customFormat="false" ht="15" hidden="false" customHeight="false" outlineLevel="0" collapsed="false">
      <c r="A142" s="24"/>
      <c r="B142" s="5"/>
      <c r="C142" s="18"/>
      <c r="D142" s="19" t="str">
        <f aca="false">IF(OR($S142="",N($C142)=0),"",$C142/100*N(INDEX('Pro قاعدة الأغذية'!$F$5:$F$604,$S142)))</f>
        <v/>
      </c>
      <c r="E142" s="22" t="str">
        <f aca="false">IF(OR($S142="",N($C142)=0),"",$C142/100*N(INDEX('Pro قاعدة الأغذية'!$G$5:$G$604,$S142)))</f>
        <v/>
      </c>
      <c r="F142" s="22" t="str">
        <f aca="false">IF(OR($S142="",N($C142)=0),"",$C142/100*N(INDEX('Pro قاعدة الأغذية'!$H$5:$H$604,$S142)))</f>
        <v/>
      </c>
      <c r="G142" s="22" t="str">
        <f aca="false">IF(OR($S142="",N($C142)=0),"",$C142/100*N(INDEX('Pro قاعدة الأغذية'!$I$5:$I$604,$S142)))</f>
        <v/>
      </c>
      <c r="H142" s="22" t="str">
        <f aca="false">IF(OR($S142="",N($C142)=0),"",$C142/100*N(INDEX('Pro قاعدة الأغذية'!$J$5:$J$604,$S142)))</f>
        <v/>
      </c>
      <c r="I142" s="19" t="str">
        <f aca="false">IF(OR($S142="",N($C142)=0),"",$C142/100*N(INDEX('Pro قاعدة الأغذية'!$L$5:$L$604,$S142)))</f>
        <v/>
      </c>
      <c r="J142" s="30" t="str">
        <f aca="false">IF($S142="","",INDEX('Pro قاعدة الأغذية'!$E$5:$E$604,$S142))</f>
        <v/>
      </c>
      <c r="S142" s="31" t="str">
        <f aca="false">IF(B142="","",IFERROR(MATCH(B142,'Pro قاعدة الأغذية'!$C$5:$C$604,0),""))</f>
        <v/>
      </c>
    </row>
    <row r="143" customFormat="false" ht="15" hidden="false" customHeight="false" outlineLevel="0" collapsed="false">
      <c r="A143" s="24"/>
      <c r="B143" s="32" t="s">
        <v>91</v>
      </c>
      <c r="C143" s="33" t="n">
        <f aca="false">SUM(C137:C142)</f>
        <v>0</v>
      </c>
      <c r="D143" s="33" t="n">
        <f aca="false">SUM(D137:D142)</f>
        <v>0</v>
      </c>
      <c r="E143" s="33" t="n">
        <f aca="false">SUM(E137:E142)</f>
        <v>0</v>
      </c>
      <c r="F143" s="33" t="n">
        <f aca="false">SUM(F137:F142)</f>
        <v>0</v>
      </c>
      <c r="G143" s="33" t="n">
        <f aca="false">SUM(G137:G142)</f>
        <v>0</v>
      </c>
      <c r="H143" s="34" t="n">
        <f aca="false">SUM(H137:H142)</f>
        <v>0</v>
      </c>
      <c r="I143" s="33" t="n">
        <f aca="false">SUM(I137:I142)</f>
        <v>0</v>
      </c>
      <c r="K143" s="35" t="n">
        <f aca="false">IF(AND(('Pro إعدادات'!$C$38="نعم"),IF($T$100=1,'Pro إعدادات'!$G$39,'Pro إعدادات'!$D$39)&gt;0),'Pro ملف الرياضي'!$H$25*IF($T$100=1,'Pro إعدادات'!$G$38,'Pro إعدادات'!$D$38)/IF($T$100=1,'Pro إعدادات'!$G$39,'Pro إعدادات'!$D$39),0)</f>
        <v>0</v>
      </c>
      <c r="L143" s="35" t="n">
        <f aca="false">IF(AND(('Pro إعدادات'!$C$38="نعم"),IF($T$100=1,'Pro إعدادات'!$H$39,'Pro إعدادات'!$E$39)&gt;0),'Pro ملف الرياضي'!$I$25*IF($T$100=1,'Pro إعدادات'!$H$38,'Pro إعدادات'!$E$38)/IF($T$100=1,'Pro إعدادات'!$H$39,'Pro إعدادات'!$E$39),0)</f>
        <v>0</v>
      </c>
      <c r="M143" s="35" t="n">
        <f aca="false">IF(AND(('Pro إعدادات'!$C$38="نعم"),IF($T$100=1,'Pro إعدادات'!$I$39,'Pro إعدادات'!$F$39)&gt;0),'Pro ملف الرياضي'!$J$25*IF($T$100=1,'Pro إعدادات'!$I$38,'Pro إعدادات'!$F$38)/IF($T$100=1,'Pro إعدادات'!$I$39,'Pro إعدادات'!$F$39),0)</f>
        <v>0</v>
      </c>
      <c r="N143" s="35" t="n">
        <f aca="false">4*K143+4*L143+9*M143</f>
        <v>0</v>
      </c>
      <c r="O143" s="21" t="n">
        <f aca="false">E143-K143</f>
        <v>0</v>
      </c>
      <c r="P143" s="21" t="n">
        <f aca="false">F143-L143</f>
        <v>0</v>
      </c>
      <c r="Q143" s="21" t="n">
        <f aca="false">G143-M143</f>
        <v>0</v>
      </c>
    </row>
    <row r="144" customFormat="false" ht="17.35" hidden="false" customHeight="false" outlineLevel="0" collapsed="false">
      <c r="B144" s="36" t="s">
        <v>103</v>
      </c>
      <c r="C144" s="33" t="n">
        <f aca="false">C108+C115+C122+C129+C136+C143</f>
        <v>0</v>
      </c>
      <c r="D144" s="35" t="n">
        <f aca="false">D108+D115+D122+D129+D136+D143</f>
        <v>0</v>
      </c>
      <c r="E144" s="35" t="n">
        <f aca="false">E108+E115+E122+E129+E136+E143</f>
        <v>0</v>
      </c>
      <c r="F144" s="35" t="n">
        <f aca="false">F108+F115+F122+F129+F136+F143</f>
        <v>0</v>
      </c>
      <c r="G144" s="35" t="n">
        <f aca="false">G108+G115+G122+G129+G136+G143</f>
        <v>0</v>
      </c>
      <c r="H144" s="37" t="n">
        <f aca="false">H108+H115+H122+H129+H136+H143</f>
        <v>0</v>
      </c>
      <c r="I144" s="35" t="n">
        <f aca="false">I108+I115+I122+I129+I136+I143</f>
        <v>0</v>
      </c>
      <c r="K144" s="35" t="n">
        <f aca="false">K108+K115+K122+K129+K136+K143</f>
        <v>144</v>
      </c>
      <c r="L144" s="35" t="n">
        <f aca="false">L108+L115+L122+L129+L136+L143</f>
        <v>240</v>
      </c>
      <c r="M144" s="35" t="n">
        <f aca="false">M108+M115+M122+M129+M136+M143</f>
        <v>72</v>
      </c>
      <c r="N144" s="35" t="n">
        <f aca="false">N108+N115+N122+N129+N136+N143</f>
        <v>2184</v>
      </c>
    </row>
    <row r="145" customFormat="false" ht="15" hidden="false" customHeight="false" outlineLevel="0" collapsed="false">
      <c r="B145" s="32" t="s">
        <v>104</v>
      </c>
      <c r="D145" s="21" t="n">
        <f aca="false">D144-'Pro ملف الرياضي'!G25</f>
        <v>-2310.75</v>
      </c>
      <c r="E145" s="21" t="n">
        <f aca="false">E144-'Pro ملف الرياضي'!H25</f>
        <v>-144</v>
      </c>
      <c r="F145" s="21" t="n">
        <f aca="false">F144-'Pro ملف الرياضي'!I25</f>
        <v>-240</v>
      </c>
      <c r="G145" s="21" t="n">
        <f aca="false">G144-'Pro ملف الرياضي'!J25</f>
        <v>-72</v>
      </c>
    </row>
    <row r="146" customFormat="false" ht="15" hidden="false" customHeight="false" outlineLevel="0" collapsed="false">
      <c r="B146" s="32" t="s">
        <v>80</v>
      </c>
      <c r="D146" s="38" t="str">
        <f aca="false">IF(AND(ABS(E145)&lt;='Pro إعدادات'!$B$28*2,ABS(F145)&lt;='Pro إعدادات'!$B$28*3,ABS(G145)&lt;='Pro إعدادات'!$B$28*2),"✔ ضمن السماحية","◐ راجع الفروقات")</f>
        <v>◐ راجع الفروقات</v>
      </c>
    </row>
    <row r="148" customFormat="false" ht="17.35" hidden="false" customHeight="false" outlineLevel="0" collapsed="false">
      <c r="A148" s="28" t="str">
        <f aca="false">"الأربعاء — "&amp;'Pro ملف الرياضي'!B26&amp;"  |  الهدف: "&amp;ROUND('Pro ملف الرياضي'!G26,0)&amp;" kcal  •  بروتين "&amp;ROUND('Pro ملف الرياضي'!H26,0)&amp;" جم  •  كارب "&amp;ROUND('Pro ملف الرياضي'!I26,0)&amp;" جم  •  دهون "&amp;ROUND('Pro ملف الرياضي'!J26,0)&amp;" جم"</f>
        <v>الأربعاء — تدريب ثقيل  |  الهدف: 2836 kcal  •  بروتين 144 جم  •  كارب 480 جم  •  دهون 72 جم</v>
      </c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T148" s="29" t="n">
        <f aca="false">IF(INDEX('Pro إعدادات'!$D$14:$D$19,MATCH('Pro ملف الرياضي'!B26,'Pro إعدادات'!$A$14:$A$19,0))="نعم",1,0)</f>
        <v>1</v>
      </c>
    </row>
    <row r="149" customFormat="false" ht="15" hidden="false" customHeight="false" outlineLevel="0" collapsed="false">
      <c r="A149" s="15" t="s">
        <v>74</v>
      </c>
      <c r="B149" s="15" t="s">
        <v>75</v>
      </c>
      <c r="C149" s="15" t="s">
        <v>76</v>
      </c>
      <c r="D149" s="15" t="s">
        <v>77</v>
      </c>
      <c r="E149" s="15" t="s">
        <v>38</v>
      </c>
      <c r="F149" s="15" t="s">
        <v>39</v>
      </c>
      <c r="G149" s="15" t="s">
        <v>40</v>
      </c>
      <c r="H149" s="15" t="s">
        <v>78</v>
      </c>
      <c r="I149" s="15" t="s">
        <v>79</v>
      </c>
      <c r="J149" s="15" t="s">
        <v>80</v>
      </c>
      <c r="K149" s="15" t="s">
        <v>81</v>
      </c>
      <c r="L149" s="15" t="s">
        <v>82</v>
      </c>
      <c r="M149" s="15" t="s">
        <v>83</v>
      </c>
      <c r="N149" s="15" t="s">
        <v>84</v>
      </c>
      <c r="O149" s="15" t="s">
        <v>85</v>
      </c>
      <c r="P149" s="15" t="s">
        <v>86</v>
      </c>
      <c r="Q149" s="15" t="s">
        <v>87</v>
      </c>
    </row>
    <row r="150" customFormat="false" ht="15" hidden="false" customHeight="false" outlineLevel="0" collapsed="false">
      <c r="A150" s="14" t="str">
        <f aca="false">'Pro إعدادات'!A33&amp;" ("&amp;'Pro إعدادات'!B33&amp;")"</f>
        <v>الإفطار (07:30)</v>
      </c>
      <c r="B150" s="5"/>
      <c r="C150" s="18"/>
      <c r="D150" s="19" t="str">
        <f aca="false">IF(OR($S150="",N($C150)=0),"",$C150/100*N(INDEX('Pro قاعدة الأغذية'!$F$5:$F$604,$S150)))</f>
        <v/>
      </c>
      <c r="E150" s="22" t="str">
        <f aca="false">IF(OR($S150="",N($C150)=0),"",$C150/100*N(INDEX('Pro قاعدة الأغذية'!$G$5:$G$604,$S150)))</f>
        <v/>
      </c>
      <c r="F150" s="22" t="str">
        <f aca="false">IF(OR($S150="",N($C150)=0),"",$C150/100*N(INDEX('Pro قاعدة الأغذية'!$H$5:$H$604,$S150)))</f>
        <v/>
      </c>
      <c r="G150" s="22" t="str">
        <f aca="false">IF(OR($S150="",N($C150)=0),"",$C150/100*N(INDEX('Pro قاعدة الأغذية'!$I$5:$I$604,$S150)))</f>
        <v/>
      </c>
      <c r="H150" s="22" t="str">
        <f aca="false">IF(OR($S150="",N($C150)=0),"",$C150/100*N(INDEX('Pro قاعدة الأغذية'!$J$5:$J$604,$S150)))</f>
        <v/>
      </c>
      <c r="I150" s="19" t="str">
        <f aca="false">IF(OR($S150="",N($C150)=0),"",$C150/100*N(INDEX('Pro قاعدة الأغذية'!$L$5:$L$604,$S150)))</f>
        <v/>
      </c>
      <c r="J150" s="30" t="str">
        <f aca="false">IF($S150="","",INDEX('Pro قاعدة الأغذية'!$E$5:$E$604,$S150))</f>
        <v/>
      </c>
      <c r="S150" s="31" t="str">
        <f aca="false">IF(B150="","",IFERROR(MATCH(B150,'Pro قاعدة الأغذية'!$C$5:$C$604,0),""))</f>
        <v/>
      </c>
    </row>
    <row r="151" customFormat="false" ht="15" hidden="false" customHeight="false" outlineLevel="0" collapsed="false">
      <c r="A151" s="24"/>
      <c r="B151" s="5"/>
      <c r="C151" s="18"/>
      <c r="D151" s="19" t="str">
        <f aca="false">IF(OR($S151="",N($C151)=0),"",$C151/100*N(INDEX('Pro قاعدة الأغذية'!$F$5:$F$604,$S151)))</f>
        <v/>
      </c>
      <c r="E151" s="22" t="str">
        <f aca="false">IF(OR($S151="",N($C151)=0),"",$C151/100*N(INDEX('Pro قاعدة الأغذية'!$G$5:$G$604,$S151)))</f>
        <v/>
      </c>
      <c r="F151" s="22" t="str">
        <f aca="false">IF(OR($S151="",N($C151)=0),"",$C151/100*N(INDEX('Pro قاعدة الأغذية'!$H$5:$H$604,$S151)))</f>
        <v/>
      </c>
      <c r="G151" s="22" t="str">
        <f aca="false">IF(OR($S151="",N($C151)=0),"",$C151/100*N(INDEX('Pro قاعدة الأغذية'!$I$5:$I$604,$S151)))</f>
        <v/>
      </c>
      <c r="H151" s="22" t="str">
        <f aca="false">IF(OR($S151="",N($C151)=0),"",$C151/100*N(INDEX('Pro قاعدة الأغذية'!$J$5:$J$604,$S151)))</f>
        <v/>
      </c>
      <c r="I151" s="19" t="str">
        <f aca="false">IF(OR($S151="",N($C151)=0),"",$C151/100*N(INDEX('Pro قاعدة الأغذية'!$L$5:$L$604,$S151)))</f>
        <v/>
      </c>
      <c r="J151" s="30" t="str">
        <f aca="false">IF($S151="","",INDEX('Pro قاعدة الأغذية'!$E$5:$E$604,$S151))</f>
        <v/>
      </c>
      <c r="S151" s="31" t="str">
        <f aca="false">IF(B151="","",IFERROR(MATCH(B151,'Pro قاعدة الأغذية'!$C$5:$C$604,0),""))</f>
        <v/>
      </c>
    </row>
    <row r="152" customFormat="false" ht="15" hidden="false" customHeight="false" outlineLevel="0" collapsed="false">
      <c r="A152" s="24"/>
      <c r="B152" s="5"/>
      <c r="C152" s="18"/>
      <c r="D152" s="19" t="str">
        <f aca="false">IF(OR($S152="",N($C152)=0),"",$C152/100*N(INDEX('Pro قاعدة الأغذية'!$F$5:$F$604,$S152)))</f>
        <v/>
      </c>
      <c r="E152" s="22" t="str">
        <f aca="false">IF(OR($S152="",N($C152)=0),"",$C152/100*N(INDEX('Pro قاعدة الأغذية'!$G$5:$G$604,$S152)))</f>
        <v/>
      </c>
      <c r="F152" s="22" t="str">
        <f aca="false">IF(OR($S152="",N($C152)=0),"",$C152/100*N(INDEX('Pro قاعدة الأغذية'!$H$5:$H$604,$S152)))</f>
        <v/>
      </c>
      <c r="G152" s="22" t="str">
        <f aca="false">IF(OR($S152="",N($C152)=0),"",$C152/100*N(INDEX('Pro قاعدة الأغذية'!$I$5:$I$604,$S152)))</f>
        <v/>
      </c>
      <c r="H152" s="22" t="str">
        <f aca="false">IF(OR($S152="",N($C152)=0),"",$C152/100*N(INDEX('Pro قاعدة الأغذية'!$J$5:$J$604,$S152)))</f>
        <v/>
      </c>
      <c r="I152" s="19" t="str">
        <f aca="false">IF(OR($S152="",N($C152)=0),"",$C152/100*N(INDEX('Pro قاعدة الأغذية'!$L$5:$L$604,$S152)))</f>
        <v/>
      </c>
      <c r="J152" s="30" t="str">
        <f aca="false">IF($S152="","",INDEX('Pro قاعدة الأغذية'!$E$5:$E$604,$S152))</f>
        <v/>
      </c>
      <c r="S152" s="31" t="str">
        <f aca="false">IF(B152="","",IFERROR(MATCH(B152,'Pro قاعدة الأغذية'!$C$5:$C$604,0),""))</f>
        <v/>
      </c>
    </row>
    <row r="153" customFormat="false" ht="15" hidden="false" customHeight="false" outlineLevel="0" collapsed="false">
      <c r="A153" s="24"/>
      <c r="B153" s="5"/>
      <c r="C153" s="18"/>
      <c r="D153" s="19" t="str">
        <f aca="false">IF(OR($S153="",N($C153)=0),"",$C153/100*N(INDEX('Pro قاعدة الأغذية'!$F$5:$F$604,$S153)))</f>
        <v/>
      </c>
      <c r="E153" s="22" t="str">
        <f aca="false">IF(OR($S153="",N($C153)=0),"",$C153/100*N(INDEX('Pro قاعدة الأغذية'!$G$5:$G$604,$S153)))</f>
        <v/>
      </c>
      <c r="F153" s="22" t="str">
        <f aca="false">IF(OR($S153="",N($C153)=0),"",$C153/100*N(INDEX('Pro قاعدة الأغذية'!$H$5:$H$604,$S153)))</f>
        <v/>
      </c>
      <c r="G153" s="22" t="str">
        <f aca="false">IF(OR($S153="",N($C153)=0),"",$C153/100*N(INDEX('Pro قاعدة الأغذية'!$I$5:$I$604,$S153)))</f>
        <v/>
      </c>
      <c r="H153" s="22" t="str">
        <f aca="false">IF(OR($S153="",N($C153)=0),"",$C153/100*N(INDEX('Pro قاعدة الأغذية'!$J$5:$J$604,$S153)))</f>
        <v/>
      </c>
      <c r="I153" s="19" t="str">
        <f aca="false">IF(OR($S153="",N($C153)=0),"",$C153/100*N(INDEX('Pro قاعدة الأغذية'!$L$5:$L$604,$S153)))</f>
        <v/>
      </c>
      <c r="J153" s="30" t="str">
        <f aca="false">IF($S153="","",INDEX('Pro قاعدة الأغذية'!$E$5:$E$604,$S153))</f>
        <v/>
      </c>
      <c r="S153" s="31" t="str">
        <f aca="false">IF(B153="","",IFERROR(MATCH(B153,'Pro قاعدة الأغذية'!$C$5:$C$604,0),""))</f>
        <v/>
      </c>
    </row>
    <row r="154" customFormat="false" ht="15" hidden="false" customHeight="false" outlineLevel="0" collapsed="false">
      <c r="A154" s="24"/>
      <c r="B154" s="5"/>
      <c r="C154" s="18"/>
      <c r="D154" s="19" t="str">
        <f aca="false">IF(OR($S154="",N($C154)=0),"",$C154/100*N(INDEX('Pro قاعدة الأغذية'!$F$5:$F$604,$S154)))</f>
        <v/>
      </c>
      <c r="E154" s="22" t="str">
        <f aca="false">IF(OR($S154="",N($C154)=0),"",$C154/100*N(INDEX('Pro قاعدة الأغذية'!$G$5:$G$604,$S154)))</f>
        <v/>
      </c>
      <c r="F154" s="22" t="str">
        <f aca="false">IF(OR($S154="",N($C154)=0),"",$C154/100*N(INDEX('Pro قاعدة الأغذية'!$H$5:$H$604,$S154)))</f>
        <v/>
      </c>
      <c r="G154" s="22" t="str">
        <f aca="false">IF(OR($S154="",N($C154)=0),"",$C154/100*N(INDEX('Pro قاعدة الأغذية'!$I$5:$I$604,$S154)))</f>
        <v/>
      </c>
      <c r="H154" s="22" t="str">
        <f aca="false">IF(OR($S154="",N($C154)=0),"",$C154/100*N(INDEX('Pro قاعدة الأغذية'!$J$5:$J$604,$S154)))</f>
        <v/>
      </c>
      <c r="I154" s="19" t="str">
        <f aca="false">IF(OR($S154="",N($C154)=0),"",$C154/100*N(INDEX('Pro قاعدة الأغذية'!$L$5:$L$604,$S154)))</f>
        <v/>
      </c>
      <c r="J154" s="30" t="str">
        <f aca="false">IF($S154="","",INDEX('Pro قاعدة الأغذية'!$E$5:$E$604,$S154))</f>
        <v/>
      </c>
      <c r="S154" s="31" t="str">
        <f aca="false">IF(B154="","",IFERROR(MATCH(B154,'Pro قاعدة الأغذية'!$C$5:$C$604,0),""))</f>
        <v/>
      </c>
    </row>
    <row r="155" customFormat="false" ht="15" hidden="false" customHeight="false" outlineLevel="0" collapsed="false">
      <c r="A155" s="24"/>
      <c r="B155" s="5"/>
      <c r="C155" s="18"/>
      <c r="D155" s="19" t="str">
        <f aca="false">IF(OR($S155="",N($C155)=0),"",$C155/100*N(INDEX('Pro قاعدة الأغذية'!$F$5:$F$604,$S155)))</f>
        <v/>
      </c>
      <c r="E155" s="22" t="str">
        <f aca="false">IF(OR($S155="",N($C155)=0),"",$C155/100*N(INDEX('Pro قاعدة الأغذية'!$G$5:$G$604,$S155)))</f>
        <v/>
      </c>
      <c r="F155" s="22" t="str">
        <f aca="false">IF(OR($S155="",N($C155)=0),"",$C155/100*N(INDEX('Pro قاعدة الأغذية'!$H$5:$H$604,$S155)))</f>
        <v/>
      </c>
      <c r="G155" s="22" t="str">
        <f aca="false">IF(OR($S155="",N($C155)=0),"",$C155/100*N(INDEX('Pro قاعدة الأغذية'!$I$5:$I$604,$S155)))</f>
        <v/>
      </c>
      <c r="H155" s="22" t="str">
        <f aca="false">IF(OR($S155="",N($C155)=0),"",$C155/100*N(INDEX('Pro قاعدة الأغذية'!$J$5:$J$604,$S155)))</f>
        <v/>
      </c>
      <c r="I155" s="19" t="str">
        <f aca="false">IF(OR($S155="",N($C155)=0),"",$C155/100*N(INDEX('Pro قاعدة الأغذية'!$L$5:$L$604,$S155)))</f>
        <v/>
      </c>
      <c r="J155" s="30" t="str">
        <f aca="false">IF($S155="","",INDEX('Pro قاعدة الأغذية'!$E$5:$E$604,$S155))</f>
        <v/>
      </c>
      <c r="S155" s="31" t="str">
        <f aca="false">IF(B155="","",IFERROR(MATCH(B155,'Pro قاعدة الأغذية'!$C$5:$C$604,0),""))</f>
        <v/>
      </c>
    </row>
    <row r="156" customFormat="false" ht="15" hidden="false" customHeight="false" outlineLevel="0" collapsed="false">
      <c r="A156" s="24"/>
      <c r="B156" s="32" t="s">
        <v>91</v>
      </c>
      <c r="C156" s="33" t="n">
        <f aca="false">SUM(C150:C155)</f>
        <v>0</v>
      </c>
      <c r="D156" s="33" t="n">
        <f aca="false">SUM(D150:D155)</f>
        <v>0</v>
      </c>
      <c r="E156" s="33" t="n">
        <f aca="false">SUM(E150:E155)</f>
        <v>0</v>
      </c>
      <c r="F156" s="33" t="n">
        <f aca="false">SUM(F150:F155)</f>
        <v>0</v>
      </c>
      <c r="G156" s="33" t="n">
        <f aca="false">SUM(G150:G155)</f>
        <v>0</v>
      </c>
      <c r="H156" s="34" t="n">
        <f aca="false">SUM(H150:H155)</f>
        <v>0</v>
      </c>
      <c r="I156" s="33" t="n">
        <f aca="false">SUM(I150:I155)</f>
        <v>0</v>
      </c>
      <c r="K156" s="35" t="n">
        <f aca="false">IF(AND(('Pro إعدادات'!$C$33="نعم"),IF($T$148=1,'Pro إعدادات'!$G$39,'Pro إعدادات'!$D$39)&gt;0),'Pro ملف الرياضي'!$H$26*IF($T$148=1,'Pro إعدادات'!$G$33,'Pro إعدادات'!$D$33)/IF($T$148=1,'Pro إعدادات'!$G$39,'Pro إعدادات'!$D$39),0)</f>
        <v>28.8</v>
      </c>
      <c r="L156" s="35" t="n">
        <f aca="false">IF(AND(('Pro إعدادات'!$C$33="نعم"),IF($T$148=1,'Pro إعدادات'!$H$39,'Pro إعدادات'!$E$39)&gt;0),'Pro ملف الرياضي'!$I$26*IF($T$148=1,'Pro إعدادات'!$H$33,'Pro إعدادات'!$E$33)/IF($T$148=1,'Pro إعدادات'!$H$39,'Pro إعدادات'!$E$39),0)</f>
        <v>96</v>
      </c>
      <c r="M156" s="35" t="n">
        <f aca="false">IF(AND(('Pro إعدادات'!$C$33="نعم"),IF($T$148=1,'Pro إعدادات'!$I$39,'Pro إعدادات'!$F$39)&gt;0),'Pro ملف الرياضي'!$J$26*IF($T$148=1,'Pro إعدادات'!$I$33,'Pro إعدادات'!$F$33)/IF($T$148=1,'Pro إعدادات'!$I$39,'Pro إعدادات'!$F$39),0)</f>
        <v>18</v>
      </c>
      <c r="N156" s="35" t="n">
        <f aca="false">4*K156+4*L156+9*M156</f>
        <v>661.2</v>
      </c>
      <c r="O156" s="21" t="n">
        <f aca="false">E156-K156</f>
        <v>-28.8</v>
      </c>
      <c r="P156" s="21" t="n">
        <f aca="false">F156-L156</f>
        <v>-96</v>
      </c>
      <c r="Q156" s="21" t="n">
        <f aca="false">G156-M156</f>
        <v>-18</v>
      </c>
    </row>
    <row r="157" customFormat="false" ht="15" hidden="false" customHeight="false" outlineLevel="0" collapsed="false">
      <c r="A157" s="14" t="str">
        <f aca="false">'Pro إعدادات'!A34&amp;" ("&amp;'Pro إعدادات'!B34&amp;")"</f>
        <v>سناك 1 / قبل التدريب (10:30)</v>
      </c>
      <c r="B157" s="5"/>
      <c r="C157" s="18"/>
      <c r="D157" s="19" t="str">
        <f aca="false">IF(OR($S157="",N($C157)=0),"",$C157/100*N(INDEX('Pro قاعدة الأغذية'!$F$5:$F$604,$S157)))</f>
        <v/>
      </c>
      <c r="E157" s="22" t="str">
        <f aca="false">IF(OR($S157="",N($C157)=0),"",$C157/100*N(INDEX('Pro قاعدة الأغذية'!$G$5:$G$604,$S157)))</f>
        <v/>
      </c>
      <c r="F157" s="22" t="str">
        <f aca="false">IF(OR($S157="",N($C157)=0),"",$C157/100*N(INDEX('Pro قاعدة الأغذية'!$H$5:$H$604,$S157)))</f>
        <v/>
      </c>
      <c r="G157" s="22" t="str">
        <f aca="false">IF(OR($S157="",N($C157)=0),"",$C157/100*N(INDEX('Pro قاعدة الأغذية'!$I$5:$I$604,$S157)))</f>
        <v/>
      </c>
      <c r="H157" s="22" t="str">
        <f aca="false">IF(OR($S157="",N($C157)=0),"",$C157/100*N(INDEX('Pro قاعدة الأغذية'!$J$5:$J$604,$S157)))</f>
        <v/>
      </c>
      <c r="I157" s="19" t="str">
        <f aca="false">IF(OR($S157="",N($C157)=0),"",$C157/100*N(INDEX('Pro قاعدة الأغذية'!$L$5:$L$604,$S157)))</f>
        <v/>
      </c>
      <c r="J157" s="30" t="str">
        <f aca="false">IF($S157="","",INDEX('Pro قاعدة الأغذية'!$E$5:$E$604,$S157))</f>
        <v/>
      </c>
      <c r="S157" s="31" t="str">
        <f aca="false">IF(B157="","",IFERROR(MATCH(B157,'Pro قاعدة الأغذية'!$C$5:$C$604,0),""))</f>
        <v/>
      </c>
    </row>
    <row r="158" customFormat="false" ht="15" hidden="false" customHeight="false" outlineLevel="0" collapsed="false">
      <c r="A158" s="24"/>
      <c r="B158" s="5"/>
      <c r="C158" s="18"/>
      <c r="D158" s="19" t="str">
        <f aca="false">IF(OR($S158="",N($C158)=0),"",$C158/100*N(INDEX('Pro قاعدة الأغذية'!$F$5:$F$604,$S158)))</f>
        <v/>
      </c>
      <c r="E158" s="22" t="str">
        <f aca="false">IF(OR($S158="",N($C158)=0),"",$C158/100*N(INDEX('Pro قاعدة الأغذية'!$G$5:$G$604,$S158)))</f>
        <v/>
      </c>
      <c r="F158" s="22" t="str">
        <f aca="false">IF(OR($S158="",N($C158)=0),"",$C158/100*N(INDEX('Pro قاعدة الأغذية'!$H$5:$H$604,$S158)))</f>
        <v/>
      </c>
      <c r="G158" s="22" t="str">
        <f aca="false">IF(OR($S158="",N($C158)=0),"",$C158/100*N(INDEX('Pro قاعدة الأغذية'!$I$5:$I$604,$S158)))</f>
        <v/>
      </c>
      <c r="H158" s="22" t="str">
        <f aca="false">IF(OR($S158="",N($C158)=0),"",$C158/100*N(INDEX('Pro قاعدة الأغذية'!$J$5:$J$604,$S158)))</f>
        <v/>
      </c>
      <c r="I158" s="19" t="str">
        <f aca="false">IF(OR($S158="",N($C158)=0),"",$C158/100*N(INDEX('Pro قاعدة الأغذية'!$L$5:$L$604,$S158)))</f>
        <v/>
      </c>
      <c r="J158" s="30" t="str">
        <f aca="false">IF($S158="","",INDEX('Pro قاعدة الأغذية'!$E$5:$E$604,$S158))</f>
        <v/>
      </c>
      <c r="S158" s="31" t="str">
        <f aca="false">IF(B158="","",IFERROR(MATCH(B158,'Pro قاعدة الأغذية'!$C$5:$C$604,0),""))</f>
        <v/>
      </c>
    </row>
    <row r="159" customFormat="false" ht="15" hidden="false" customHeight="false" outlineLevel="0" collapsed="false">
      <c r="A159" s="24"/>
      <c r="B159" s="5"/>
      <c r="C159" s="18"/>
      <c r="D159" s="19" t="str">
        <f aca="false">IF(OR($S159="",N($C159)=0),"",$C159/100*N(INDEX('Pro قاعدة الأغذية'!$F$5:$F$604,$S159)))</f>
        <v/>
      </c>
      <c r="E159" s="22" t="str">
        <f aca="false">IF(OR($S159="",N($C159)=0),"",$C159/100*N(INDEX('Pro قاعدة الأغذية'!$G$5:$G$604,$S159)))</f>
        <v/>
      </c>
      <c r="F159" s="22" t="str">
        <f aca="false">IF(OR($S159="",N($C159)=0),"",$C159/100*N(INDEX('Pro قاعدة الأغذية'!$H$5:$H$604,$S159)))</f>
        <v/>
      </c>
      <c r="G159" s="22" t="str">
        <f aca="false">IF(OR($S159="",N($C159)=0),"",$C159/100*N(INDEX('Pro قاعدة الأغذية'!$I$5:$I$604,$S159)))</f>
        <v/>
      </c>
      <c r="H159" s="22" t="str">
        <f aca="false">IF(OR($S159="",N($C159)=0),"",$C159/100*N(INDEX('Pro قاعدة الأغذية'!$J$5:$J$604,$S159)))</f>
        <v/>
      </c>
      <c r="I159" s="19" t="str">
        <f aca="false">IF(OR($S159="",N($C159)=0),"",$C159/100*N(INDEX('Pro قاعدة الأغذية'!$L$5:$L$604,$S159)))</f>
        <v/>
      </c>
      <c r="J159" s="30" t="str">
        <f aca="false">IF($S159="","",INDEX('Pro قاعدة الأغذية'!$E$5:$E$604,$S159))</f>
        <v/>
      </c>
      <c r="S159" s="31" t="str">
        <f aca="false">IF(B159="","",IFERROR(MATCH(B159,'Pro قاعدة الأغذية'!$C$5:$C$604,0),""))</f>
        <v/>
      </c>
    </row>
    <row r="160" customFormat="false" ht="15" hidden="false" customHeight="false" outlineLevel="0" collapsed="false">
      <c r="A160" s="24"/>
      <c r="B160" s="5"/>
      <c r="C160" s="18"/>
      <c r="D160" s="19" t="str">
        <f aca="false">IF(OR($S160="",N($C160)=0),"",$C160/100*N(INDEX('Pro قاعدة الأغذية'!$F$5:$F$604,$S160)))</f>
        <v/>
      </c>
      <c r="E160" s="22" t="str">
        <f aca="false">IF(OR($S160="",N($C160)=0),"",$C160/100*N(INDEX('Pro قاعدة الأغذية'!$G$5:$G$604,$S160)))</f>
        <v/>
      </c>
      <c r="F160" s="22" t="str">
        <f aca="false">IF(OR($S160="",N($C160)=0),"",$C160/100*N(INDEX('Pro قاعدة الأغذية'!$H$5:$H$604,$S160)))</f>
        <v/>
      </c>
      <c r="G160" s="22" t="str">
        <f aca="false">IF(OR($S160="",N($C160)=0),"",$C160/100*N(INDEX('Pro قاعدة الأغذية'!$I$5:$I$604,$S160)))</f>
        <v/>
      </c>
      <c r="H160" s="22" t="str">
        <f aca="false">IF(OR($S160="",N($C160)=0),"",$C160/100*N(INDEX('Pro قاعدة الأغذية'!$J$5:$J$604,$S160)))</f>
        <v/>
      </c>
      <c r="I160" s="19" t="str">
        <f aca="false">IF(OR($S160="",N($C160)=0),"",$C160/100*N(INDEX('Pro قاعدة الأغذية'!$L$5:$L$604,$S160)))</f>
        <v/>
      </c>
      <c r="J160" s="30" t="str">
        <f aca="false">IF($S160="","",INDEX('Pro قاعدة الأغذية'!$E$5:$E$604,$S160))</f>
        <v/>
      </c>
      <c r="S160" s="31" t="str">
        <f aca="false">IF(B160="","",IFERROR(MATCH(B160,'Pro قاعدة الأغذية'!$C$5:$C$604,0),""))</f>
        <v/>
      </c>
    </row>
    <row r="161" customFormat="false" ht="15" hidden="false" customHeight="false" outlineLevel="0" collapsed="false">
      <c r="A161" s="24"/>
      <c r="B161" s="5"/>
      <c r="C161" s="18"/>
      <c r="D161" s="19" t="str">
        <f aca="false">IF(OR($S161="",N($C161)=0),"",$C161/100*N(INDEX('Pro قاعدة الأغذية'!$F$5:$F$604,$S161)))</f>
        <v/>
      </c>
      <c r="E161" s="22" t="str">
        <f aca="false">IF(OR($S161="",N($C161)=0),"",$C161/100*N(INDEX('Pro قاعدة الأغذية'!$G$5:$G$604,$S161)))</f>
        <v/>
      </c>
      <c r="F161" s="22" t="str">
        <f aca="false">IF(OR($S161="",N($C161)=0),"",$C161/100*N(INDEX('Pro قاعدة الأغذية'!$H$5:$H$604,$S161)))</f>
        <v/>
      </c>
      <c r="G161" s="22" t="str">
        <f aca="false">IF(OR($S161="",N($C161)=0),"",$C161/100*N(INDEX('Pro قاعدة الأغذية'!$I$5:$I$604,$S161)))</f>
        <v/>
      </c>
      <c r="H161" s="22" t="str">
        <f aca="false">IF(OR($S161="",N($C161)=0),"",$C161/100*N(INDEX('Pro قاعدة الأغذية'!$J$5:$J$604,$S161)))</f>
        <v/>
      </c>
      <c r="I161" s="19" t="str">
        <f aca="false">IF(OR($S161="",N($C161)=0),"",$C161/100*N(INDEX('Pro قاعدة الأغذية'!$L$5:$L$604,$S161)))</f>
        <v/>
      </c>
      <c r="J161" s="30" t="str">
        <f aca="false">IF($S161="","",INDEX('Pro قاعدة الأغذية'!$E$5:$E$604,$S161))</f>
        <v/>
      </c>
      <c r="S161" s="31" t="str">
        <f aca="false">IF(B161="","",IFERROR(MATCH(B161,'Pro قاعدة الأغذية'!$C$5:$C$604,0),""))</f>
        <v/>
      </c>
    </row>
    <row r="162" customFormat="false" ht="15" hidden="false" customHeight="false" outlineLevel="0" collapsed="false">
      <c r="A162" s="24"/>
      <c r="B162" s="5"/>
      <c r="C162" s="18"/>
      <c r="D162" s="19" t="str">
        <f aca="false">IF(OR($S162="",N($C162)=0),"",$C162/100*N(INDEX('Pro قاعدة الأغذية'!$F$5:$F$604,$S162)))</f>
        <v/>
      </c>
      <c r="E162" s="22" t="str">
        <f aca="false">IF(OR($S162="",N($C162)=0),"",$C162/100*N(INDEX('Pro قاعدة الأغذية'!$G$5:$G$604,$S162)))</f>
        <v/>
      </c>
      <c r="F162" s="22" t="str">
        <f aca="false">IF(OR($S162="",N($C162)=0),"",$C162/100*N(INDEX('Pro قاعدة الأغذية'!$H$5:$H$604,$S162)))</f>
        <v/>
      </c>
      <c r="G162" s="22" t="str">
        <f aca="false">IF(OR($S162="",N($C162)=0),"",$C162/100*N(INDEX('Pro قاعدة الأغذية'!$I$5:$I$604,$S162)))</f>
        <v/>
      </c>
      <c r="H162" s="22" t="str">
        <f aca="false">IF(OR($S162="",N($C162)=0),"",$C162/100*N(INDEX('Pro قاعدة الأغذية'!$J$5:$J$604,$S162)))</f>
        <v/>
      </c>
      <c r="I162" s="19" t="str">
        <f aca="false">IF(OR($S162="",N($C162)=0),"",$C162/100*N(INDEX('Pro قاعدة الأغذية'!$L$5:$L$604,$S162)))</f>
        <v/>
      </c>
      <c r="J162" s="30" t="str">
        <f aca="false">IF($S162="","",INDEX('Pro قاعدة الأغذية'!$E$5:$E$604,$S162))</f>
        <v/>
      </c>
      <c r="S162" s="31" t="str">
        <f aca="false">IF(B162="","",IFERROR(MATCH(B162,'Pro قاعدة الأغذية'!$C$5:$C$604,0),""))</f>
        <v/>
      </c>
    </row>
    <row r="163" customFormat="false" ht="15" hidden="false" customHeight="false" outlineLevel="0" collapsed="false">
      <c r="A163" s="24"/>
      <c r="B163" s="32" t="s">
        <v>91</v>
      </c>
      <c r="C163" s="33" t="n">
        <f aca="false">SUM(C157:C162)</f>
        <v>0</v>
      </c>
      <c r="D163" s="33" t="n">
        <f aca="false">SUM(D157:D162)</f>
        <v>0</v>
      </c>
      <c r="E163" s="33" t="n">
        <f aca="false">SUM(E157:E162)</f>
        <v>0</v>
      </c>
      <c r="F163" s="33" t="n">
        <f aca="false">SUM(F157:F162)</f>
        <v>0</v>
      </c>
      <c r="G163" s="33" t="n">
        <f aca="false">SUM(G157:G162)</f>
        <v>0</v>
      </c>
      <c r="H163" s="34" t="n">
        <f aca="false">SUM(H157:H162)</f>
        <v>0</v>
      </c>
      <c r="I163" s="33" t="n">
        <f aca="false">SUM(I157:I162)</f>
        <v>0</v>
      </c>
      <c r="K163" s="35" t="n">
        <f aca="false">IF(AND(('Pro إعدادات'!$C$34="نعم"),IF($T$148=1,'Pro إعدادات'!$G$39,'Pro إعدادات'!$D$39)&gt;0),'Pro ملف الرياضي'!$H$26*IF($T$148=1,'Pro إعدادات'!$G$34,'Pro إعدادات'!$D$34)/IF($T$148=1,'Pro إعدادات'!$G$39,'Pro إعدادات'!$D$39),0)</f>
        <v>14.4</v>
      </c>
      <c r="L163" s="35" t="n">
        <f aca="false">IF(AND(('Pro إعدادات'!$C$34="نعم"),IF($T$148=1,'Pro إعدادات'!$H$39,'Pro إعدادات'!$E$39)&gt;0),'Pro ملف الرياضي'!$I$26*IF($T$148=1,'Pro إعدادات'!$H$34,'Pro إعدادات'!$E$34)/IF($T$148=1,'Pro إعدادات'!$H$39,'Pro إعدادات'!$E$39),0)</f>
        <v>72</v>
      </c>
      <c r="M163" s="35" t="n">
        <f aca="false">IF(AND(('Pro إعدادات'!$C$34="نعم"),IF($T$148=1,'Pro إعدادات'!$I$39,'Pro إعدادات'!$F$39)&gt;0),'Pro ملف الرياضي'!$J$26*IF($T$148=1,'Pro إعدادات'!$I$34,'Pro إعدادات'!$F$34)/IF($T$148=1,'Pro إعدادات'!$I$39,'Pro إعدادات'!$F$39),0)</f>
        <v>3.6</v>
      </c>
      <c r="N163" s="35" t="n">
        <f aca="false">4*K163+4*L163+9*M163</f>
        <v>378</v>
      </c>
      <c r="O163" s="21" t="n">
        <f aca="false">E163-K163</f>
        <v>-14.4</v>
      </c>
      <c r="P163" s="21" t="n">
        <f aca="false">F163-L163</f>
        <v>-72</v>
      </c>
      <c r="Q163" s="21" t="n">
        <f aca="false">G163-M163</f>
        <v>-3.6</v>
      </c>
    </row>
    <row r="164" customFormat="false" ht="15" hidden="false" customHeight="false" outlineLevel="0" collapsed="false">
      <c r="A164" s="14" t="str">
        <f aca="false">'Pro إعدادات'!A35&amp;" ("&amp;'Pro إعدادات'!B35&amp;")"</f>
        <v>الغداء (13:30)</v>
      </c>
      <c r="B164" s="5"/>
      <c r="C164" s="18"/>
      <c r="D164" s="19" t="str">
        <f aca="false">IF(OR($S164="",N($C164)=0),"",$C164/100*N(INDEX('Pro قاعدة الأغذية'!$F$5:$F$604,$S164)))</f>
        <v/>
      </c>
      <c r="E164" s="22" t="str">
        <f aca="false">IF(OR($S164="",N($C164)=0),"",$C164/100*N(INDEX('Pro قاعدة الأغذية'!$G$5:$G$604,$S164)))</f>
        <v/>
      </c>
      <c r="F164" s="22" t="str">
        <f aca="false">IF(OR($S164="",N($C164)=0),"",$C164/100*N(INDEX('Pro قاعدة الأغذية'!$H$5:$H$604,$S164)))</f>
        <v/>
      </c>
      <c r="G164" s="22" t="str">
        <f aca="false">IF(OR($S164="",N($C164)=0),"",$C164/100*N(INDEX('Pro قاعدة الأغذية'!$I$5:$I$604,$S164)))</f>
        <v/>
      </c>
      <c r="H164" s="22" t="str">
        <f aca="false">IF(OR($S164="",N($C164)=0),"",$C164/100*N(INDEX('Pro قاعدة الأغذية'!$J$5:$J$604,$S164)))</f>
        <v/>
      </c>
      <c r="I164" s="19" t="str">
        <f aca="false">IF(OR($S164="",N($C164)=0),"",$C164/100*N(INDEX('Pro قاعدة الأغذية'!$L$5:$L$604,$S164)))</f>
        <v/>
      </c>
      <c r="J164" s="30" t="str">
        <f aca="false">IF($S164="","",INDEX('Pro قاعدة الأغذية'!$E$5:$E$604,$S164))</f>
        <v/>
      </c>
      <c r="S164" s="31" t="str">
        <f aca="false">IF(B164="","",IFERROR(MATCH(B164,'Pro قاعدة الأغذية'!$C$5:$C$604,0),""))</f>
        <v/>
      </c>
    </row>
    <row r="165" customFormat="false" ht="15" hidden="false" customHeight="false" outlineLevel="0" collapsed="false">
      <c r="A165" s="24"/>
      <c r="B165" s="5"/>
      <c r="C165" s="18"/>
      <c r="D165" s="19" t="str">
        <f aca="false">IF(OR($S165="",N($C165)=0),"",$C165/100*N(INDEX('Pro قاعدة الأغذية'!$F$5:$F$604,$S165)))</f>
        <v/>
      </c>
      <c r="E165" s="22" t="str">
        <f aca="false">IF(OR($S165="",N($C165)=0),"",$C165/100*N(INDEX('Pro قاعدة الأغذية'!$G$5:$G$604,$S165)))</f>
        <v/>
      </c>
      <c r="F165" s="22" t="str">
        <f aca="false">IF(OR($S165="",N($C165)=0),"",$C165/100*N(INDEX('Pro قاعدة الأغذية'!$H$5:$H$604,$S165)))</f>
        <v/>
      </c>
      <c r="G165" s="22" t="str">
        <f aca="false">IF(OR($S165="",N($C165)=0),"",$C165/100*N(INDEX('Pro قاعدة الأغذية'!$I$5:$I$604,$S165)))</f>
        <v/>
      </c>
      <c r="H165" s="22" t="str">
        <f aca="false">IF(OR($S165="",N($C165)=0),"",$C165/100*N(INDEX('Pro قاعدة الأغذية'!$J$5:$J$604,$S165)))</f>
        <v/>
      </c>
      <c r="I165" s="19" t="str">
        <f aca="false">IF(OR($S165="",N($C165)=0),"",$C165/100*N(INDEX('Pro قاعدة الأغذية'!$L$5:$L$604,$S165)))</f>
        <v/>
      </c>
      <c r="J165" s="30" t="str">
        <f aca="false">IF($S165="","",INDEX('Pro قاعدة الأغذية'!$E$5:$E$604,$S165))</f>
        <v/>
      </c>
      <c r="S165" s="31" t="str">
        <f aca="false">IF(B165="","",IFERROR(MATCH(B165,'Pro قاعدة الأغذية'!$C$5:$C$604,0),""))</f>
        <v/>
      </c>
    </row>
    <row r="166" customFormat="false" ht="15" hidden="false" customHeight="false" outlineLevel="0" collapsed="false">
      <c r="A166" s="24"/>
      <c r="B166" s="5"/>
      <c r="C166" s="18"/>
      <c r="D166" s="19" t="str">
        <f aca="false">IF(OR($S166="",N($C166)=0),"",$C166/100*N(INDEX('Pro قاعدة الأغذية'!$F$5:$F$604,$S166)))</f>
        <v/>
      </c>
      <c r="E166" s="22" t="str">
        <f aca="false">IF(OR($S166="",N($C166)=0),"",$C166/100*N(INDEX('Pro قاعدة الأغذية'!$G$5:$G$604,$S166)))</f>
        <v/>
      </c>
      <c r="F166" s="22" t="str">
        <f aca="false">IF(OR($S166="",N($C166)=0),"",$C166/100*N(INDEX('Pro قاعدة الأغذية'!$H$5:$H$604,$S166)))</f>
        <v/>
      </c>
      <c r="G166" s="22" t="str">
        <f aca="false">IF(OR($S166="",N($C166)=0),"",$C166/100*N(INDEX('Pro قاعدة الأغذية'!$I$5:$I$604,$S166)))</f>
        <v/>
      </c>
      <c r="H166" s="22" t="str">
        <f aca="false">IF(OR($S166="",N($C166)=0),"",$C166/100*N(INDEX('Pro قاعدة الأغذية'!$J$5:$J$604,$S166)))</f>
        <v/>
      </c>
      <c r="I166" s="19" t="str">
        <f aca="false">IF(OR($S166="",N($C166)=0),"",$C166/100*N(INDEX('Pro قاعدة الأغذية'!$L$5:$L$604,$S166)))</f>
        <v/>
      </c>
      <c r="J166" s="30" t="str">
        <f aca="false">IF($S166="","",INDEX('Pro قاعدة الأغذية'!$E$5:$E$604,$S166))</f>
        <v/>
      </c>
      <c r="S166" s="31" t="str">
        <f aca="false">IF(B166="","",IFERROR(MATCH(B166,'Pro قاعدة الأغذية'!$C$5:$C$604,0),""))</f>
        <v/>
      </c>
    </row>
    <row r="167" customFormat="false" ht="15" hidden="false" customHeight="false" outlineLevel="0" collapsed="false">
      <c r="A167" s="24"/>
      <c r="B167" s="5"/>
      <c r="C167" s="18"/>
      <c r="D167" s="19" t="str">
        <f aca="false">IF(OR($S167="",N($C167)=0),"",$C167/100*N(INDEX('Pro قاعدة الأغذية'!$F$5:$F$604,$S167)))</f>
        <v/>
      </c>
      <c r="E167" s="22" t="str">
        <f aca="false">IF(OR($S167="",N($C167)=0),"",$C167/100*N(INDEX('Pro قاعدة الأغذية'!$G$5:$G$604,$S167)))</f>
        <v/>
      </c>
      <c r="F167" s="22" t="str">
        <f aca="false">IF(OR($S167="",N($C167)=0),"",$C167/100*N(INDEX('Pro قاعدة الأغذية'!$H$5:$H$604,$S167)))</f>
        <v/>
      </c>
      <c r="G167" s="22" t="str">
        <f aca="false">IF(OR($S167="",N($C167)=0),"",$C167/100*N(INDEX('Pro قاعدة الأغذية'!$I$5:$I$604,$S167)))</f>
        <v/>
      </c>
      <c r="H167" s="22" t="str">
        <f aca="false">IF(OR($S167="",N($C167)=0),"",$C167/100*N(INDEX('Pro قاعدة الأغذية'!$J$5:$J$604,$S167)))</f>
        <v/>
      </c>
      <c r="I167" s="19" t="str">
        <f aca="false">IF(OR($S167="",N($C167)=0),"",$C167/100*N(INDEX('Pro قاعدة الأغذية'!$L$5:$L$604,$S167)))</f>
        <v/>
      </c>
      <c r="J167" s="30" t="str">
        <f aca="false">IF($S167="","",INDEX('Pro قاعدة الأغذية'!$E$5:$E$604,$S167))</f>
        <v/>
      </c>
      <c r="S167" s="31" t="str">
        <f aca="false">IF(B167="","",IFERROR(MATCH(B167,'Pro قاعدة الأغذية'!$C$5:$C$604,0),""))</f>
        <v/>
      </c>
    </row>
    <row r="168" customFormat="false" ht="15" hidden="false" customHeight="false" outlineLevel="0" collapsed="false">
      <c r="A168" s="24"/>
      <c r="B168" s="5"/>
      <c r="C168" s="18"/>
      <c r="D168" s="19" t="str">
        <f aca="false">IF(OR($S168="",N($C168)=0),"",$C168/100*N(INDEX('Pro قاعدة الأغذية'!$F$5:$F$604,$S168)))</f>
        <v/>
      </c>
      <c r="E168" s="22" t="str">
        <f aca="false">IF(OR($S168="",N($C168)=0),"",$C168/100*N(INDEX('Pro قاعدة الأغذية'!$G$5:$G$604,$S168)))</f>
        <v/>
      </c>
      <c r="F168" s="22" t="str">
        <f aca="false">IF(OR($S168="",N($C168)=0),"",$C168/100*N(INDEX('Pro قاعدة الأغذية'!$H$5:$H$604,$S168)))</f>
        <v/>
      </c>
      <c r="G168" s="22" t="str">
        <f aca="false">IF(OR($S168="",N($C168)=0),"",$C168/100*N(INDEX('Pro قاعدة الأغذية'!$I$5:$I$604,$S168)))</f>
        <v/>
      </c>
      <c r="H168" s="22" t="str">
        <f aca="false">IF(OR($S168="",N($C168)=0),"",$C168/100*N(INDEX('Pro قاعدة الأغذية'!$J$5:$J$604,$S168)))</f>
        <v/>
      </c>
      <c r="I168" s="19" t="str">
        <f aca="false">IF(OR($S168="",N($C168)=0),"",$C168/100*N(INDEX('Pro قاعدة الأغذية'!$L$5:$L$604,$S168)))</f>
        <v/>
      </c>
      <c r="J168" s="30" t="str">
        <f aca="false">IF($S168="","",INDEX('Pro قاعدة الأغذية'!$E$5:$E$604,$S168))</f>
        <v/>
      </c>
      <c r="S168" s="31" t="str">
        <f aca="false">IF(B168="","",IFERROR(MATCH(B168,'Pro قاعدة الأغذية'!$C$5:$C$604,0),""))</f>
        <v/>
      </c>
    </row>
    <row r="169" customFormat="false" ht="15" hidden="false" customHeight="false" outlineLevel="0" collapsed="false">
      <c r="A169" s="24"/>
      <c r="B169" s="5"/>
      <c r="C169" s="18"/>
      <c r="D169" s="19" t="str">
        <f aca="false">IF(OR($S169="",N($C169)=0),"",$C169/100*N(INDEX('Pro قاعدة الأغذية'!$F$5:$F$604,$S169)))</f>
        <v/>
      </c>
      <c r="E169" s="22" t="str">
        <f aca="false">IF(OR($S169="",N($C169)=0),"",$C169/100*N(INDEX('Pro قاعدة الأغذية'!$G$5:$G$604,$S169)))</f>
        <v/>
      </c>
      <c r="F169" s="22" t="str">
        <f aca="false">IF(OR($S169="",N($C169)=0),"",$C169/100*N(INDEX('Pro قاعدة الأغذية'!$H$5:$H$604,$S169)))</f>
        <v/>
      </c>
      <c r="G169" s="22" t="str">
        <f aca="false">IF(OR($S169="",N($C169)=0),"",$C169/100*N(INDEX('Pro قاعدة الأغذية'!$I$5:$I$604,$S169)))</f>
        <v/>
      </c>
      <c r="H169" s="22" t="str">
        <f aca="false">IF(OR($S169="",N($C169)=0),"",$C169/100*N(INDEX('Pro قاعدة الأغذية'!$J$5:$J$604,$S169)))</f>
        <v/>
      </c>
      <c r="I169" s="19" t="str">
        <f aca="false">IF(OR($S169="",N($C169)=0),"",$C169/100*N(INDEX('Pro قاعدة الأغذية'!$L$5:$L$604,$S169)))</f>
        <v/>
      </c>
      <c r="J169" s="30" t="str">
        <f aca="false">IF($S169="","",INDEX('Pro قاعدة الأغذية'!$E$5:$E$604,$S169))</f>
        <v/>
      </c>
      <c r="S169" s="31" t="str">
        <f aca="false">IF(B169="","",IFERROR(MATCH(B169,'Pro قاعدة الأغذية'!$C$5:$C$604,0),""))</f>
        <v/>
      </c>
    </row>
    <row r="170" customFormat="false" ht="15" hidden="false" customHeight="false" outlineLevel="0" collapsed="false">
      <c r="A170" s="24"/>
      <c r="B170" s="32" t="s">
        <v>91</v>
      </c>
      <c r="C170" s="33" t="n">
        <f aca="false">SUM(C164:C169)</f>
        <v>0</v>
      </c>
      <c r="D170" s="33" t="n">
        <f aca="false">SUM(D164:D169)</f>
        <v>0</v>
      </c>
      <c r="E170" s="33" t="n">
        <f aca="false">SUM(E164:E169)</f>
        <v>0</v>
      </c>
      <c r="F170" s="33" t="n">
        <f aca="false">SUM(F164:F169)</f>
        <v>0</v>
      </c>
      <c r="G170" s="33" t="n">
        <f aca="false">SUM(G164:G169)</f>
        <v>0</v>
      </c>
      <c r="H170" s="34" t="n">
        <f aca="false">SUM(H164:H169)</f>
        <v>0</v>
      </c>
      <c r="I170" s="33" t="n">
        <f aca="false">SUM(I164:I169)</f>
        <v>0</v>
      </c>
      <c r="K170" s="35" t="n">
        <f aca="false">IF(AND(('Pro إعدادات'!$C$35="نعم"),IF($T$148=1,'Pro إعدادات'!$G$39,'Pro إعدادات'!$D$39)&gt;0),'Pro ملف الرياضي'!$H$26*IF($T$148=1,'Pro إعدادات'!$G$35,'Pro إعدادات'!$D$35)/IF($T$148=1,'Pro إعدادات'!$G$39,'Pro إعدادات'!$D$39),0)</f>
        <v>36</v>
      </c>
      <c r="L170" s="35" t="n">
        <f aca="false">IF(AND(('Pro إعدادات'!$C$35="نعم"),IF($T$148=1,'Pro إعدادات'!$H$39,'Pro إعدادات'!$E$39)&gt;0),'Pro ملف الرياضي'!$I$26*IF($T$148=1,'Pro إعدادات'!$H$35,'Pro إعدادات'!$E$35)/IF($T$148=1,'Pro إعدادات'!$H$39,'Pro إعدادات'!$E$39),0)</f>
        <v>120</v>
      </c>
      <c r="M170" s="35" t="n">
        <f aca="false">IF(AND(('Pro إعدادات'!$C$35="نعم"),IF($T$148=1,'Pro إعدادات'!$I$39,'Pro إعدادات'!$F$39)&gt;0),'Pro ملف الرياضي'!$J$26*IF($T$148=1,'Pro إعدادات'!$I$35,'Pro إعدادات'!$F$35)/IF($T$148=1,'Pro إعدادات'!$I$39,'Pro إعدادات'!$F$39),0)</f>
        <v>21.6</v>
      </c>
      <c r="N170" s="35" t="n">
        <f aca="false">4*K170+4*L170+9*M170</f>
        <v>818.4</v>
      </c>
      <c r="O170" s="21" t="n">
        <f aca="false">E170-K170</f>
        <v>-36</v>
      </c>
      <c r="P170" s="21" t="n">
        <f aca="false">F170-L170</f>
        <v>-120</v>
      </c>
      <c r="Q170" s="21" t="n">
        <f aca="false">G170-M170</f>
        <v>-21.6</v>
      </c>
    </row>
    <row r="171" customFormat="false" ht="15" hidden="false" customHeight="false" outlineLevel="0" collapsed="false">
      <c r="A171" s="14" t="str">
        <f aca="false">'Pro إعدادات'!A36&amp;" ("&amp;'Pro إعدادات'!B36&amp;")"</f>
        <v>سناك 2 / بعد التدريب (16:30)</v>
      </c>
      <c r="B171" s="5"/>
      <c r="C171" s="18"/>
      <c r="D171" s="19" t="str">
        <f aca="false">IF(OR($S171="",N($C171)=0),"",$C171/100*N(INDEX('Pro قاعدة الأغذية'!$F$5:$F$604,$S171)))</f>
        <v/>
      </c>
      <c r="E171" s="22" t="str">
        <f aca="false">IF(OR($S171="",N($C171)=0),"",$C171/100*N(INDEX('Pro قاعدة الأغذية'!$G$5:$G$604,$S171)))</f>
        <v/>
      </c>
      <c r="F171" s="22" t="str">
        <f aca="false">IF(OR($S171="",N($C171)=0),"",$C171/100*N(INDEX('Pro قاعدة الأغذية'!$H$5:$H$604,$S171)))</f>
        <v/>
      </c>
      <c r="G171" s="22" t="str">
        <f aca="false">IF(OR($S171="",N($C171)=0),"",$C171/100*N(INDEX('Pro قاعدة الأغذية'!$I$5:$I$604,$S171)))</f>
        <v/>
      </c>
      <c r="H171" s="22" t="str">
        <f aca="false">IF(OR($S171="",N($C171)=0),"",$C171/100*N(INDEX('Pro قاعدة الأغذية'!$J$5:$J$604,$S171)))</f>
        <v/>
      </c>
      <c r="I171" s="19" t="str">
        <f aca="false">IF(OR($S171="",N($C171)=0),"",$C171/100*N(INDEX('Pro قاعدة الأغذية'!$L$5:$L$604,$S171)))</f>
        <v/>
      </c>
      <c r="J171" s="30" t="str">
        <f aca="false">IF($S171="","",INDEX('Pro قاعدة الأغذية'!$E$5:$E$604,$S171))</f>
        <v/>
      </c>
      <c r="S171" s="31" t="str">
        <f aca="false">IF(B171="","",IFERROR(MATCH(B171,'Pro قاعدة الأغذية'!$C$5:$C$604,0),""))</f>
        <v/>
      </c>
    </row>
    <row r="172" customFormat="false" ht="15" hidden="false" customHeight="false" outlineLevel="0" collapsed="false">
      <c r="A172" s="24"/>
      <c r="B172" s="5"/>
      <c r="C172" s="18"/>
      <c r="D172" s="19" t="str">
        <f aca="false">IF(OR($S172="",N($C172)=0),"",$C172/100*N(INDEX('Pro قاعدة الأغذية'!$F$5:$F$604,$S172)))</f>
        <v/>
      </c>
      <c r="E172" s="22" t="str">
        <f aca="false">IF(OR($S172="",N($C172)=0),"",$C172/100*N(INDEX('Pro قاعدة الأغذية'!$G$5:$G$604,$S172)))</f>
        <v/>
      </c>
      <c r="F172" s="22" t="str">
        <f aca="false">IF(OR($S172="",N($C172)=0),"",$C172/100*N(INDEX('Pro قاعدة الأغذية'!$H$5:$H$604,$S172)))</f>
        <v/>
      </c>
      <c r="G172" s="22" t="str">
        <f aca="false">IF(OR($S172="",N($C172)=0),"",$C172/100*N(INDEX('Pro قاعدة الأغذية'!$I$5:$I$604,$S172)))</f>
        <v/>
      </c>
      <c r="H172" s="22" t="str">
        <f aca="false">IF(OR($S172="",N($C172)=0),"",$C172/100*N(INDEX('Pro قاعدة الأغذية'!$J$5:$J$604,$S172)))</f>
        <v/>
      </c>
      <c r="I172" s="19" t="str">
        <f aca="false">IF(OR($S172="",N($C172)=0),"",$C172/100*N(INDEX('Pro قاعدة الأغذية'!$L$5:$L$604,$S172)))</f>
        <v/>
      </c>
      <c r="J172" s="30" t="str">
        <f aca="false">IF($S172="","",INDEX('Pro قاعدة الأغذية'!$E$5:$E$604,$S172))</f>
        <v/>
      </c>
      <c r="S172" s="31" t="str">
        <f aca="false">IF(B172="","",IFERROR(MATCH(B172,'Pro قاعدة الأغذية'!$C$5:$C$604,0),""))</f>
        <v/>
      </c>
    </row>
    <row r="173" customFormat="false" ht="15" hidden="false" customHeight="false" outlineLevel="0" collapsed="false">
      <c r="A173" s="24"/>
      <c r="B173" s="5"/>
      <c r="C173" s="18"/>
      <c r="D173" s="19" t="str">
        <f aca="false">IF(OR($S173="",N($C173)=0),"",$C173/100*N(INDEX('Pro قاعدة الأغذية'!$F$5:$F$604,$S173)))</f>
        <v/>
      </c>
      <c r="E173" s="22" t="str">
        <f aca="false">IF(OR($S173="",N($C173)=0),"",$C173/100*N(INDEX('Pro قاعدة الأغذية'!$G$5:$G$604,$S173)))</f>
        <v/>
      </c>
      <c r="F173" s="22" t="str">
        <f aca="false">IF(OR($S173="",N($C173)=0),"",$C173/100*N(INDEX('Pro قاعدة الأغذية'!$H$5:$H$604,$S173)))</f>
        <v/>
      </c>
      <c r="G173" s="22" t="str">
        <f aca="false">IF(OR($S173="",N($C173)=0),"",$C173/100*N(INDEX('Pro قاعدة الأغذية'!$I$5:$I$604,$S173)))</f>
        <v/>
      </c>
      <c r="H173" s="22" t="str">
        <f aca="false">IF(OR($S173="",N($C173)=0),"",$C173/100*N(INDEX('Pro قاعدة الأغذية'!$J$5:$J$604,$S173)))</f>
        <v/>
      </c>
      <c r="I173" s="19" t="str">
        <f aca="false">IF(OR($S173="",N($C173)=0),"",$C173/100*N(INDEX('Pro قاعدة الأغذية'!$L$5:$L$604,$S173)))</f>
        <v/>
      </c>
      <c r="J173" s="30" t="str">
        <f aca="false">IF($S173="","",INDEX('Pro قاعدة الأغذية'!$E$5:$E$604,$S173))</f>
        <v/>
      </c>
      <c r="S173" s="31" t="str">
        <f aca="false">IF(B173="","",IFERROR(MATCH(B173,'Pro قاعدة الأغذية'!$C$5:$C$604,0),""))</f>
        <v/>
      </c>
    </row>
    <row r="174" customFormat="false" ht="15" hidden="false" customHeight="false" outlineLevel="0" collapsed="false">
      <c r="A174" s="24"/>
      <c r="B174" s="5"/>
      <c r="C174" s="18"/>
      <c r="D174" s="19" t="str">
        <f aca="false">IF(OR($S174="",N($C174)=0),"",$C174/100*N(INDEX('Pro قاعدة الأغذية'!$F$5:$F$604,$S174)))</f>
        <v/>
      </c>
      <c r="E174" s="22" t="str">
        <f aca="false">IF(OR($S174="",N($C174)=0),"",$C174/100*N(INDEX('Pro قاعدة الأغذية'!$G$5:$G$604,$S174)))</f>
        <v/>
      </c>
      <c r="F174" s="22" t="str">
        <f aca="false">IF(OR($S174="",N($C174)=0),"",$C174/100*N(INDEX('Pro قاعدة الأغذية'!$H$5:$H$604,$S174)))</f>
        <v/>
      </c>
      <c r="G174" s="22" t="str">
        <f aca="false">IF(OR($S174="",N($C174)=0),"",$C174/100*N(INDEX('Pro قاعدة الأغذية'!$I$5:$I$604,$S174)))</f>
        <v/>
      </c>
      <c r="H174" s="22" t="str">
        <f aca="false">IF(OR($S174="",N($C174)=0),"",$C174/100*N(INDEX('Pro قاعدة الأغذية'!$J$5:$J$604,$S174)))</f>
        <v/>
      </c>
      <c r="I174" s="19" t="str">
        <f aca="false">IF(OR($S174="",N($C174)=0),"",$C174/100*N(INDEX('Pro قاعدة الأغذية'!$L$5:$L$604,$S174)))</f>
        <v/>
      </c>
      <c r="J174" s="30" t="str">
        <f aca="false">IF($S174="","",INDEX('Pro قاعدة الأغذية'!$E$5:$E$604,$S174))</f>
        <v/>
      </c>
      <c r="S174" s="31" t="str">
        <f aca="false">IF(B174="","",IFERROR(MATCH(B174,'Pro قاعدة الأغذية'!$C$5:$C$604,0),""))</f>
        <v/>
      </c>
    </row>
    <row r="175" customFormat="false" ht="15" hidden="false" customHeight="false" outlineLevel="0" collapsed="false">
      <c r="A175" s="24"/>
      <c r="B175" s="5"/>
      <c r="C175" s="18"/>
      <c r="D175" s="19" t="str">
        <f aca="false">IF(OR($S175="",N($C175)=0),"",$C175/100*N(INDEX('Pro قاعدة الأغذية'!$F$5:$F$604,$S175)))</f>
        <v/>
      </c>
      <c r="E175" s="22" t="str">
        <f aca="false">IF(OR($S175="",N($C175)=0),"",$C175/100*N(INDEX('Pro قاعدة الأغذية'!$G$5:$G$604,$S175)))</f>
        <v/>
      </c>
      <c r="F175" s="22" t="str">
        <f aca="false">IF(OR($S175="",N($C175)=0),"",$C175/100*N(INDEX('Pro قاعدة الأغذية'!$H$5:$H$604,$S175)))</f>
        <v/>
      </c>
      <c r="G175" s="22" t="str">
        <f aca="false">IF(OR($S175="",N($C175)=0),"",$C175/100*N(INDEX('Pro قاعدة الأغذية'!$I$5:$I$604,$S175)))</f>
        <v/>
      </c>
      <c r="H175" s="22" t="str">
        <f aca="false">IF(OR($S175="",N($C175)=0),"",$C175/100*N(INDEX('Pro قاعدة الأغذية'!$J$5:$J$604,$S175)))</f>
        <v/>
      </c>
      <c r="I175" s="19" t="str">
        <f aca="false">IF(OR($S175="",N($C175)=0),"",$C175/100*N(INDEX('Pro قاعدة الأغذية'!$L$5:$L$604,$S175)))</f>
        <v/>
      </c>
      <c r="J175" s="30" t="str">
        <f aca="false">IF($S175="","",INDEX('Pro قاعدة الأغذية'!$E$5:$E$604,$S175))</f>
        <v/>
      </c>
      <c r="S175" s="31" t="str">
        <f aca="false">IF(B175="","",IFERROR(MATCH(B175,'Pro قاعدة الأغذية'!$C$5:$C$604,0),""))</f>
        <v/>
      </c>
    </row>
    <row r="176" customFormat="false" ht="15" hidden="false" customHeight="false" outlineLevel="0" collapsed="false">
      <c r="A176" s="24"/>
      <c r="B176" s="5"/>
      <c r="C176" s="18"/>
      <c r="D176" s="19" t="str">
        <f aca="false">IF(OR($S176="",N($C176)=0),"",$C176/100*N(INDEX('Pro قاعدة الأغذية'!$F$5:$F$604,$S176)))</f>
        <v/>
      </c>
      <c r="E176" s="22" t="str">
        <f aca="false">IF(OR($S176="",N($C176)=0),"",$C176/100*N(INDEX('Pro قاعدة الأغذية'!$G$5:$G$604,$S176)))</f>
        <v/>
      </c>
      <c r="F176" s="22" t="str">
        <f aca="false">IF(OR($S176="",N($C176)=0),"",$C176/100*N(INDEX('Pro قاعدة الأغذية'!$H$5:$H$604,$S176)))</f>
        <v/>
      </c>
      <c r="G176" s="22" t="str">
        <f aca="false">IF(OR($S176="",N($C176)=0),"",$C176/100*N(INDEX('Pro قاعدة الأغذية'!$I$5:$I$604,$S176)))</f>
        <v/>
      </c>
      <c r="H176" s="22" t="str">
        <f aca="false">IF(OR($S176="",N($C176)=0),"",$C176/100*N(INDEX('Pro قاعدة الأغذية'!$J$5:$J$604,$S176)))</f>
        <v/>
      </c>
      <c r="I176" s="19" t="str">
        <f aca="false">IF(OR($S176="",N($C176)=0),"",$C176/100*N(INDEX('Pro قاعدة الأغذية'!$L$5:$L$604,$S176)))</f>
        <v/>
      </c>
      <c r="J176" s="30" t="str">
        <f aca="false">IF($S176="","",INDEX('Pro قاعدة الأغذية'!$E$5:$E$604,$S176))</f>
        <v/>
      </c>
      <c r="S176" s="31" t="str">
        <f aca="false">IF(B176="","",IFERROR(MATCH(B176,'Pro قاعدة الأغذية'!$C$5:$C$604,0),""))</f>
        <v/>
      </c>
    </row>
    <row r="177" customFormat="false" ht="15" hidden="false" customHeight="false" outlineLevel="0" collapsed="false">
      <c r="A177" s="24"/>
      <c r="B177" s="32" t="s">
        <v>91</v>
      </c>
      <c r="C177" s="33" t="n">
        <f aca="false">SUM(C171:C176)</f>
        <v>0</v>
      </c>
      <c r="D177" s="33" t="n">
        <f aca="false">SUM(D171:D176)</f>
        <v>0</v>
      </c>
      <c r="E177" s="33" t="n">
        <f aca="false">SUM(E171:E176)</f>
        <v>0</v>
      </c>
      <c r="F177" s="33" t="n">
        <f aca="false">SUM(F171:F176)</f>
        <v>0</v>
      </c>
      <c r="G177" s="33" t="n">
        <f aca="false">SUM(G171:G176)</f>
        <v>0</v>
      </c>
      <c r="H177" s="34" t="n">
        <f aca="false">SUM(H171:H176)</f>
        <v>0</v>
      </c>
      <c r="I177" s="33" t="n">
        <f aca="false">SUM(I171:I176)</f>
        <v>0</v>
      </c>
      <c r="K177" s="35" t="n">
        <f aca="false">IF(AND(('Pro إعدادات'!$C$36="نعم"),IF($T$148=1,'Pro إعدادات'!$G$39,'Pro إعدادات'!$D$39)&gt;0),'Pro ملف الرياضي'!$H$26*IF($T$148=1,'Pro إعدادات'!$G$36,'Pro إعدادات'!$D$36)/IF($T$148=1,'Pro إعدادات'!$G$39,'Pro إعدادات'!$D$39),0)</f>
        <v>28.8</v>
      </c>
      <c r="L177" s="35" t="n">
        <f aca="false">IF(AND(('Pro إعدادات'!$C$36="نعم"),IF($T$148=1,'Pro إعدادات'!$H$39,'Pro إعدادات'!$E$39)&gt;0),'Pro ملف الرياضي'!$I$26*IF($T$148=1,'Pro إعدادات'!$H$36,'Pro إعدادات'!$E$36)/IF($T$148=1,'Pro إعدادات'!$H$39,'Pro إعدادات'!$E$39),0)</f>
        <v>120</v>
      </c>
      <c r="M177" s="35" t="n">
        <f aca="false">IF(AND(('Pro إعدادات'!$C$36="نعم"),IF($T$148=1,'Pro إعدادات'!$I$39,'Pro إعدادات'!$F$39)&gt;0),'Pro ملف الرياضي'!$J$26*IF($T$148=1,'Pro إعدادات'!$I$36,'Pro إعدادات'!$F$36)/IF($T$148=1,'Pro إعدادات'!$I$39,'Pro إعدادات'!$F$39),0)</f>
        <v>7.2</v>
      </c>
      <c r="N177" s="35" t="n">
        <f aca="false">4*K177+4*L177+9*M177</f>
        <v>660</v>
      </c>
      <c r="O177" s="21" t="n">
        <f aca="false">E177-K177</f>
        <v>-28.8</v>
      </c>
      <c r="P177" s="21" t="n">
        <f aca="false">F177-L177</f>
        <v>-120</v>
      </c>
      <c r="Q177" s="21" t="n">
        <f aca="false">G177-M177</f>
        <v>-7.2</v>
      </c>
    </row>
    <row r="178" customFormat="false" ht="15" hidden="false" customHeight="false" outlineLevel="0" collapsed="false">
      <c r="A178" s="14" t="str">
        <f aca="false">'Pro إعدادات'!A37&amp;" ("&amp;'Pro إعدادات'!B37&amp;")"</f>
        <v>العشاء (20:00)</v>
      </c>
      <c r="B178" s="5"/>
      <c r="C178" s="18"/>
      <c r="D178" s="19" t="str">
        <f aca="false">IF(OR($S178="",N($C178)=0),"",$C178/100*N(INDEX('Pro قاعدة الأغذية'!$F$5:$F$604,$S178)))</f>
        <v/>
      </c>
      <c r="E178" s="22" t="str">
        <f aca="false">IF(OR($S178="",N($C178)=0),"",$C178/100*N(INDEX('Pro قاعدة الأغذية'!$G$5:$G$604,$S178)))</f>
        <v/>
      </c>
      <c r="F178" s="22" t="str">
        <f aca="false">IF(OR($S178="",N($C178)=0),"",$C178/100*N(INDEX('Pro قاعدة الأغذية'!$H$5:$H$604,$S178)))</f>
        <v/>
      </c>
      <c r="G178" s="22" t="str">
        <f aca="false">IF(OR($S178="",N($C178)=0),"",$C178/100*N(INDEX('Pro قاعدة الأغذية'!$I$5:$I$604,$S178)))</f>
        <v/>
      </c>
      <c r="H178" s="22" t="str">
        <f aca="false">IF(OR($S178="",N($C178)=0),"",$C178/100*N(INDEX('Pro قاعدة الأغذية'!$J$5:$J$604,$S178)))</f>
        <v/>
      </c>
      <c r="I178" s="19" t="str">
        <f aca="false">IF(OR($S178="",N($C178)=0),"",$C178/100*N(INDEX('Pro قاعدة الأغذية'!$L$5:$L$604,$S178)))</f>
        <v/>
      </c>
      <c r="J178" s="30" t="str">
        <f aca="false">IF($S178="","",INDEX('Pro قاعدة الأغذية'!$E$5:$E$604,$S178))</f>
        <v/>
      </c>
      <c r="S178" s="31" t="str">
        <f aca="false">IF(B178="","",IFERROR(MATCH(B178,'Pro قاعدة الأغذية'!$C$5:$C$604,0),""))</f>
        <v/>
      </c>
    </row>
    <row r="179" customFormat="false" ht="15" hidden="false" customHeight="false" outlineLevel="0" collapsed="false">
      <c r="A179" s="24"/>
      <c r="B179" s="5"/>
      <c r="C179" s="18"/>
      <c r="D179" s="19" t="str">
        <f aca="false">IF(OR($S179="",N($C179)=0),"",$C179/100*N(INDEX('Pro قاعدة الأغذية'!$F$5:$F$604,$S179)))</f>
        <v/>
      </c>
      <c r="E179" s="22" t="str">
        <f aca="false">IF(OR($S179="",N($C179)=0),"",$C179/100*N(INDEX('Pro قاعدة الأغذية'!$G$5:$G$604,$S179)))</f>
        <v/>
      </c>
      <c r="F179" s="22" t="str">
        <f aca="false">IF(OR($S179="",N($C179)=0),"",$C179/100*N(INDEX('Pro قاعدة الأغذية'!$H$5:$H$604,$S179)))</f>
        <v/>
      </c>
      <c r="G179" s="22" t="str">
        <f aca="false">IF(OR($S179="",N($C179)=0),"",$C179/100*N(INDEX('Pro قاعدة الأغذية'!$I$5:$I$604,$S179)))</f>
        <v/>
      </c>
      <c r="H179" s="22" t="str">
        <f aca="false">IF(OR($S179="",N($C179)=0),"",$C179/100*N(INDEX('Pro قاعدة الأغذية'!$J$5:$J$604,$S179)))</f>
        <v/>
      </c>
      <c r="I179" s="19" t="str">
        <f aca="false">IF(OR($S179="",N($C179)=0),"",$C179/100*N(INDEX('Pro قاعدة الأغذية'!$L$5:$L$604,$S179)))</f>
        <v/>
      </c>
      <c r="J179" s="30" t="str">
        <f aca="false">IF($S179="","",INDEX('Pro قاعدة الأغذية'!$E$5:$E$604,$S179))</f>
        <v/>
      </c>
      <c r="S179" s="31" t="str">
        <f aca="false">IF(B179="","",IFERROR(MATCH(B179,'Pro قاعدة الأغذية'!$C$5:$C$604,0),""))</f>
        <v/>
      </c>
    </row>
    <row r="180" customFormat="false" ht="15" hidden="false" customHeight="false" outlineLevel="0" collapsed="false">
      <c r="A180" s="24"/>
      <c r="B180" s="5"/>
      <c r="C180" s="18"/>
      <c r="D180" s="19" t="str">
        <f aca="false">IF(OR($S180="",N($C180)=0),"",$C180/100*N(INDEX('Pro قاعدة الأغذية'!$F$5:$F$604,$S180)))</f>
        <v/>
      </c>
      <c r="E180" s="22" t="str">
        <f aca="false">IF(OR($S180="",N($C180)=0),"",$C180/100*N(INDEX('Pro قاعدة الأغذية'!$G$5:$G$604,$S180)))</f>
        <v/>
      </c>
      <c r="F180" s="22" t="str">
        <f aca="false">IF(OR($S180="",N($C180)=0),"",$C180/100*N(INDEX('Pro قاعدة الأغذية'!$H$5:$H$604,$S180)))</f>
        <v/>
      </c>
      <c r="G180" s="22" t="str">
        <f aca="false">IF(OR($S180="",N($C180)=0),"",$C180/100*N(INDEX('Pro قاعدة الأغذية'!$I$5:$I$604,$S180)))</f>
        <v/>
      </c>
      <c r="H180" s="22" t="str">
        <f aca="false">IF(OR($S180="",N($C180)=0),"",$C180/100*N(INDEX('Pro قاعدة الأغذية'!$J$5:$J$604,$S180)))</f>
        <v/>
      </c>
      <c r="I180" s="19" t="str">
        <f aca="false">IF(OR($S180="",N($C180)=0),"",$C180/100*N(INDEX('Pro قاعدة الأغذية'!$L$5:$L$604,$S180)))</f>
        <v/>
      </c>
      <c r="J180" s="30" t="str">
        <f aca="false">IF($S180="","",INDEX('Pro قاعدة الأغذية'!$E$5:$E$604,$S180))</f>
        <v/>
      </c>
      <c r="S180" s="31" t="str">
        <f aca="false">IF(B180="","",IFERROR(MATCH(B180,'Pro قاعدة الأغذية'!$C$5:$C$604,0),""))</f>
        <v/>
      </c>
    </row>
    <row r="181" customFormat="false" ht="15" hidden="false" customHeight="false" outlineLevel="0" collapsed="false">
      <c r="A181" s="24"/>
      <c r="B181" s="5"/>
      <c r="C181" s="18"/>
      <c r="D181" s="19" t="str">
        <f aca="false">IF(OR($S181="",N($C181)=0),"",$C181/100*N(INDEX('Pro قاعدة الأغذية'!$F$5:$F$604,$S181)))</f>
        <v/>
      </c>
      <c r="E181" s="22" t="str">
        <f aca="false">IF(OR($S181="",N($C181)=0),"",$C181/100*N(INDEX('Pro قاعدة الأغذية'!$G$5:$G$604,$S181)))</f>
        <v/>
      </c>
      <c r="F181" s="22" t="str">
        <f aca="false">IF(OR($S181="",N($C181)=0),"",$C181/100*N(INDEX('Pro قاعدة الأغذية'!$H$5:$H$604,$S181)))</f>
        <v/>
      </c>
      <c r="G181" s="22" t="str">
        <f aca="false">IF(OR($S181="",N($C181)=0),"",$C181/100*N(INDEX('Pro قاعدة الأغذية'!$I$5:$I$604,$S181)))</f>
        <v/>
      </c>
      <c r="H181" s="22" t="str">
        <f aca="false">IF(OR($S181="",N($C181)=0),"",$C181/100*N(INDEX('Pro قاعدة الأغذية'!$J$5:$J$604,$S181)))</f>
        <v/>
      </c>
      <c r="I181" s="19" t="str">
        <f aca="false">IF(OR($S181="",N($C181)=0),"",$C181/100*N(INDEX('Pro قاعدة الأغذية'!$L$5:$L$604,$S181)))</f>
        <v/>
      </c>
      <c r="J181" s="30" t="str">
        <f aca="false">IF($S181="","",INDEX('Pro قاعدة الأغذية'!$E$5:$E$604,$S181))</f>
        <v/>
      </c>
      <c r="S181" s="31" t="str">
        <f aca="false">IF(B181="","",IFERROR(MATCH(B181,'Pro قاعدة الأغذية'!$C$5:$C$604,0),""))</f>
        <v/>
      </c>
    </row>
    <row r="182" customFormat="false" ht="15" hidden="false" customHeight="false" outlineLevel="0" collapsed="false">
      <c r="A182" s="24"/>
      <c r="B182" s="5"/>
      <c r="C182" s="18"/>
      <c r="D182" s="19" t="str">
        <f aca="false">IF(OR($S182="",N($C182)=0),"",$C182/100*N(INDEX('Pro قاعدة الأغذية'!$F$5:$F$604,$S182)))</f>
        <v/>
      </c>
      <c r="E182" s="22" t="str">
        <f aca="false">IF(OR($S182="",N($C182)=0),"",$C182/100*N(INDEX('Pro قاعدة الأغذية'!$G$5:$G$604,$S182)))</f>
        <v/>
      </c>
      <c r="F182" s="22" t="str">
        <f aca="false">IF(OR($S182="",N($C182)=0),"",$C182/100*N(INDEX('Pro قاعدة الأغذية'!$H$5:$H$604,$S182)))</f>
        <v/>
      </c>
      <c r="G182" s="22" t="str">
        <f aca="false">IF(OR($S182="",N($C182)=0),"",$C182/100*N(INDEX('Pro قاعدة الأغذية'!$I$5:$I$604,$S182)))</f>
        <v/>
      </c>
      <c r="H182" s="22" t="str">
        <f aca="false">IF(OR($S182="",N($C182)=0),"",$C182/100*N(INDEX('Pro قاعدة الأغذية'!$J$5:$J$604,$S182)))</f>
        <v/>
      </c>
      <c r="I182" s="19" t="str">
        <f aca="false">IF(OR($S182="",N($C182)=0),"",$C182/100*N(INDEX('Pro قاعدة الأغذية'!$L$5:$L$604,$S182)))</f>
        <v/>
      </c>
      <c r="J182" s="30" t="str">
        <f aca="false">IF($S182="","",INDEX('Pro قاعدة الأغذية'!$E$5:$E$604,$S182))</f>
        <v/>
      </c>
      <c r="S182" s="31" t="str">
        <f aca="false">IF(B182="","",IFERROR(MATCH(B182,'Pro قاعدة الأغذية'!$C$5:$C$604,0),""))</f>
        <v/>
      </c>
    </row>
    <row r="183" customFormat="false" ht="15" hidden="false" customHeight="false" outlineLevel="0" collapsed="false">
      <c r="A183" s="24"/>
      <c r="B183" s="5"/>
      <c r="C183" s="18"/>
      <c r="D183" s="19" t="str">
        <f aca="false">IF(OR($S183="",N($C183)=0),"",$C183/100*N(INDEX('Pro قاعدة الأغذية'!$F$5:$F$604,$S183)))</f>
        <v/>
      </c>
      <c r="E183" s="22" t="str">
        <f aca="false">IF(OR($S183="",N($C183)=0),"",$C183/100*N(INDEX('Pro قاعدة الأغذية'!$G$5:$G$604,$S183)))</f>
        <v/>
      </c>
      <c r="F183" s="22" t="str">
        <f aca="false">IF(OR($S183="",N($C183)=0),"",$C183/100*N(INDEX('Pro قاعدة الأغذية'!$H$5:$H$604,$S183)))</f>
        <v/>
      </c>
      <c r="G183" s="22" t="str">
        <f aca="false">IF(OR($S183="",N($C183)=0),"",$C183/100*N(INDEX('Pro قاعدة الأغذية'!$I$5:$I$604,$S183)))</f>
        <v/>
      </c>
      <c r="H183" s="22" t="str">
        <f aca="false">IF(OR($S183="",N($C183)=0),"",$C183/100*N(INDEX('Pro قاعدة الأغذية'!$J$5:$J$604,$S183)))</f>
        <v/>
      </c>
      <c r="I183" s="19" t="str">
        <f aca="false">IF(OR($S183="",N($C183)=0),"",$C183/100*N(INDEX('Pro قاعدة الأغذية'!$L$5:$L$604,$S183)))</f>
        <v/>
      </c>
      <c r="J183" s="30" t="str">
        <f aca="false">IF($S183="","",INDEX('Pro قاعدة الأغذية'!$E$5:$E$604,$S183))</f>
        <v/>
      </c>
      <c r="S183" s="31" t="str">
        <f aca="false">IF(B183="","",IFERROR(MATCH(B183,'Pro قاعدة الأغذية'!$C$5:$C$604,0),""))</f>
        <v/>
      </c>
    </row>
    <row r="184" customFormat="false" ht="15" hidden="false" customHeight="false" outlineLevel="0" collapsed="false">
      <c r="A184" s="24"/>
      <c r="B184" s="32" t="s">
        <v>91</v>
      </c>
      <c r="C184" s="33" t="n">
        <f aca="false">SUM(C178:C183)</f>
        <v>0</v>
      </c>
      <c r="D184" s="33" t="n">
        <f aca="false">SUM(D178:D183)</f>
        <v>0</v>
      </c>
      <c r="E184" s="33" t="n">
        <f aca="false">SUM(E178:E183)</f>
        <v>0</v>
      </c>
      <c r="F184" s="33" t="n">
        <f aca="false">SUM(F178:F183)</f>
        <v>0</v>
      </c>
      <c r="G184" s="33" t="n">
        <f aca="false">SUM(G178:G183)</f>
        <v>0</v>
      </c>
      <c r="H184" s="34" t="n">
        <f aca="false">SUM(H178:H183)</f>
        <v>0</v>
      </c>
      <c r="I184" s="33" t="n">
        <f aca="false">SUM(I178:I183)</f>
        <v>0</v>
      </c>
      <c r="K184" s="35" t="n">
        <f aca="false">IF(AND(('Pro إعدادات'!$C$37="نعم"),IF($T$148=1,'Pro إعدادات'!$G$39,'Pro إعدادات'!$D$39)&gt;0),'Pro ملف الرياضي'!$H$26*IF($T$148=1,'Pro إعدادات'!$G$37,'Pro إعدادات'!$D$37)/IF($T$148=1,'Pro إعدادات'!$G$39,'Pro إعدادات'!$D$39),0)</f>
        <v>36</v>
      </c>
      <c r="L184" s="35" t="n">
        <f aca="false">IF(AND(('Pro إعدادات'!$C$37="نعم"),IF($T$148=1,'Pro إعدادات'!$H$39,'Pro إعدادات'!$E$39)&gt;0),'Pro ملف الرياضي'!$I$26*IF($T$148=1,'Pro إعدادات'!$H$37,'Pro إعدادات'!$E$37)/IF($T$148=1,'Pro إعدادات'!$H$39,'Pro إعدادات'!$E$39),0)</f>
        <v>72</v>
      </c>
      <c r="M184" s="35" t="n">
        <f aca="false">IF(AND(('Pro إعدادات'!$C$37="نعم"),IF($T$148=1,'Pro إعدادات'!$I$39,'Pro إعدادات'!$F$39)&gt;0),'Pro ملف الرياضي'!$J$26*IF($T$148=1,'Pro إعدادات'!$I$37,'Pro إعدادات'!$F$37)/IF($T$148=1,'Pro إعدادات'!$I$39,'Pro إعدادات'!$F$39),0)</f>
        <v>21.6</v>
      </c>
      <c r="N184" s="35" t="n">
        <f aca="false">4*K184+4*L184+9*M184</f>
        <v>626.4</v>
      </c>
      <c r="O184" s="21" t="n">
        <f aca="false">E184-K184</f>
        <v>-36</v>
      </c>
      <c r="P184" s="21" t="n">
        <f aca="false">F184-L184</f>
        <v>-72</v>
      </c>
      <c r="Q184" s="21" t="n">
        <f aca="false">G184-M184</f>
        <v>-21.6</v>
      </c>
    </row>
    <row r="185" customFormat="false" ht="15" hidden="false" customHeight="false" outlineLevel="0" collapsed="false">
      <c r="A185" s="14" t="str">
        <f aca="false">'Pro إعدادات'!A38&amp;" ("&amp;'Pro إعدادات'!B38&amp;")"</f>
        <v>وجبة ليلية (22:30)</v>
      </c>
      <c r="B185" s="5"/>
      <c r="C185" s="18"/>
      <c r="D185" s="19" t="str">
        <f aca="false">IF(OR($S185="",N($C185)=0),"",$C185/100*N(INDEX('Pro قاعدة الأغذية'!$F$5:$F$604,$S185)))</f>
        <v/>
      </c>
      <c r="E185" s="22" t="str">
        <f aca="false">IF(OR($S185="",N($C185)=0),"",$C185/100*N(INDEX('Pro قاعدة الأغذية'!$G$5:$G$604,$S185)))</f>
        <v/>
      </c>
      <c r="F185" s="22" t="str">
        <f aca="false">IF(OR($S185="",N($C185)=0),"",$C185/100*N(INDEX('Pro قاعدة الأغذية'!$H$5:$H$604,$S185)))</f>
        <v/>
      </c>
      <c r="G185" s="22" t="str">
        <f aca="false">IF(OR($S185="",N($C185)=0),"",$C185/100*N(INDEX('Pro قاعدة الأغذية'!$I$5:$I$604,$S185)))</f>
        <v/>
      </c>
      <c r="H185" s="22" t="str">
        <f aca="false">IF(OR($S185="",N($C185)=0),"",$C185/100*N(INDEX('Pro قاعدة الأغذية'!$J$5:$J$604,$S185)))</f>
        <v/>
      </c>
      <c r="I185" s="19" t="str">
        <f aca="false">IF(OR($S185="",N($C185)=0),"",$C185/100*N(INDEX('Pro قاعدة الأغذية'!$L$5:$L$604,$S185)))</f>
        <v/>
      </c>
      <c r="J185" s="30" t="str">
        <f aca="false">IF($S185="","",INDEX('Pro قاعدة الأغذية'!$E$5:$E$604,$S185))</f>
        <v/>
      </c>
      <c r="S185" s="31" t="str">
        <f aca="false">IF(B185="","",IFERROR(MATCH(B185,'Pro قاعدة الأغذية'!$C$5:$C$604,0),""))</f>
        <v/>
      </c>
    </row>
    <row r="186" customFormat="false" ht="15" hidden="false" customHeight="false" outlineLevel="0" collapsed="false">
      <c r="A186" s="24"/>
      <c r="B186" s="5"/>
      <c r="C186" s="18"/>
      <c r="D186" s="19" t="str">
        <f aca="false">IF(OR($S186="",N($C186)=0),"",$C186/100*N(INDEX('Pro قاعدة الأغذية'!$F$5:$F$604,$S186)))</f>
        <v/>
      </c>
      <c r="E186" s="22" t="str">
        <f aca="false">IF(OR($S186="",N($C186)=0),"",$C186/100*N(INDEX('Pro قاعدة الأغذية'!$G$5:$G$604,$S186)))</f>
        <v/>
      </c>
      <c r="F186" s="22" t="str">
        <f aca="false">IF(OR($S186="",N($C186)=0),"",$C186/100*N(INDEX('Pro قاعدة الأغذية'!$H$5:$H$604,$S186)))</f>
        <v/>
      </c>
      <c r="G186" s="22" t="str">
        <f aca="false">IF(OR($S186="",N($C186)=0),"",$C186/100*N(INDEX('Pro قاعدة الأغذية'!$I$5:$I$604,$S186)))</f>
        <v/>
      </c>
      <c r="H186" s="22" t="str">
        <f aca="false">IF(OR($S186="",N($C186)=0),"",$C186/100*N(INDEX('Pro قاعدة الأغذية'!$J$5:$J$604,$S186)))</f>
        <v/>
      </c>
      <c r="I186" s="19" t="str">
        <f aca="false">IF(OR($S186="",N($C186)=0),"",$C186/100*N(INDEX('Pro قاعدة الأغذية'!$L$5:$L$604,$S186)))</f>
        <v/>
      </c>
      <c r="J186" s="30" t="str">
        <f aca="false">IF($S186="","",INDEX('Pro قاعدة الأغذية'!$E$5:$E$604,$S186))</f>
        <v/>
      </c>
      <c r="S186" s="31" t="str">
        <f aca="false">IF(B186="","",IFERROR(MATCH(B186,'Pro قاعدة الأغذية'!$C$5:$C$604,0),""))</f>
        <v/>
      </c>
    </row>
    <row r="187" customFormat="false" ht="15" hidden="false" customHeight="false" outlineLevel="0" collapsed="false">
      <c r="A187" s="24"/>
      <c r="B187" s="5"/>
      <c r="C187" s="18"/>
      <c r="D187" s="19" t="str">
        <f aca="false">IF(OR($S187="",N($C187)=0),"",$C187/100*N(INDEX('Pro قاعدة الأغذية'!$F$5:$F$604,$S187)))</f>
        <v/>
      </c>
      <c r="E187" s="22" t="str">
        <f aca="false">IF(OR($S187="",N($C187)=0),"",$C187/100*N(INDEX('Pro قاعدة الأغذية'!$G$5:$G$604,$S187)))</f>
        <v/>
      </c>
      <c r="F187" s="22" t="str">
        <f aca="false">IF(OR($S187="",N($C187)=0),"",$C187/100*N(INDEX('Pro قاعدة الأغذية'!$H$5:$H$604,$S187)))</f>
        <v/>
      </c>
      <c r="G187" s="22" t="str">
        <f aca="false">IF(OR($S187="",N($C187)=0),"",$C187/100*N(INDEX('Pro قاعدة الأغذية'!$I$5:$I$604,$S187)))</f>
        <v/>
      </c>
      <c r="H187" s="22" t="str">
        <f aca="false">IF(OR($S187="",N($C187)=0),"",$C187/100*N(INDEX('Pro قاعدة الأغذية'!$J$5:$J$604,$S187)))</f>
        <v/>
      </c>
      <c r="I187" s="19" t="str">
        <f aca="false">IF(OR($S187="",N($C187)=0),"",$C187/100*N(INDEX('Pro قاعدة الأغذية'!$L$5:$L$604,$S187)))</f>
        <v/>
      </c>
      <c r="J187" s="30" t="str">
        <f aca="false">IF($S187="","",INDEX('Pro قاعدة الأغذية'!$E$5:$E$604,$S187))</f>
        <v/>
      </c>
      <c r="S187" s="31" t="str">
        <f aca="false">IF(B187="","",IFERROR(MATCH(B187,'Pro قاعدة الأغذية'!$C$5:$C$604,0),""))</f>
        <v/>
      </c>
    </row>
    <row r="188" customFormat="false" ht="15" hidden="false" customHeight="false" outlineLevel="0" collapsed="false">
      <c r="A188" s="24"/>
      <c r="B188" s="5"/>
      <c r="C188" s="18"/>
      <c r="D188" s="19" t="str">
        <f aca="false">IF(OR($S188="",N($C188)=0),"",$C188/100*N(INDEX('Pro قاعدة الأغذية'!$F$5:$F$604,$S188)))</f>
        <v/>
      </c>
      <c r="E188" s="22" t="str">
        <f aca="false">IF(OR($S188="",N($C188)=0),"",$C188/100*N(INDEX('Pro قاعدة الأغذية'!$G$5:$G$604,$S188)))</f>
        <v/>
      </c>
      <c r="F188" s="22" t="str">
        <f aca="false">IF(OR($S188="",N($C188)=0),"",$C188/100*N(INDEX('Pro قاعدة الأغذية'!$H$5:$H$604,$S188)))</f>
        <v/>
      </c>
      <c r="G188" s="22" t="str">
        <f aca="false">IF(OR($S188="",N($C188)=0),"",$C188/100*N(INDEX('Pro قاعدة الأغذية'!$I$5:$I$604,$S188)))</f>
        <v/>
      </c>
      <c r="H188" s="22" t="str">
        <f aca="false">IF(OR($S188="",N($C188)=0),"",$C188/100*N(INDEX('Pro قاعدة الأغذية'!$J$5:$J$604,$S188)))</f>
        <v/>
      </c>
      <c r="I188" s="19" t="str">
        <f aca="false">IF(OR($S188="",N($C188)=0),"",$C188/100*N(INDEX('Pro قاعدة الأغذية'!$L$5:$L$604,$S188)))</f>
        <v/>
      </c>
      <c r="J188" s="30" t="str">
        <f aca="false">IF($S188="","",INDEX('Pro قاعدة الأغذية'!$E$5:$E$604,$S188))</f>
        <v/>
      </c>
      <c r="S188" s="31" t="str">
        <f aca="false">IF(B188="","",IFERROR(MATCH(B188,'Pro قاعدة الأغذية'!$C$5:$C$604,0),""))</f>
        <v/>
      </c>
    </row>
    <row r="189" customFormat="false" ht="15" hidden="false" customHeight="false" outlineLevel="0" collapsed="false">
      <c r="A189" s="24"/>
      <c r="B189" s="5"/>
      <c r="C189" s="18"/>
      <c r="D189" s="19" t="str">
        <f aca="false">IF(OR($S189="",N($C189)=0),"",$C189/100*N(INDEX('Pro قاعدة الأغذية'!$F$5:$F$604,$S189)))</f>
        <v/>
      </c>
      <c r="E189" s="22" t="str">
        <f aca="false">IF(OR($S189="",N($C189)=0),"",$C189/100*N(INDEX('Pro قاعدة الأغذية'!$G$5:$G$604,$S189)))</f>
        <v/>
      </c>
      <c r="F189" s="22" t="str">
        <f aca="false">IF(OR($S189="",N($C189)=0),"",$C189/100*N(INDEX('Pro قاعدة الأغذية'!$H$5:$H$604,$S189)))</f>
        <v/>
      </c>
      <c r="G189" s="22" t="str">
        <f aca="false">IF(OR($S189="",N($C189)=0),"",$C189/100*N(INDEX('Pro قاعدة الأغذية'!$I$5:$I$604,$S189)))</f>
        <v/>
      </c>
      <c r="H189" s="22" t="str">
        <f aca="false">IF(OR($S189="",N($C189)=0),"",$C189/100*N(INDEX('Pro قاعدة الأغذية'!$J$5:$J$604,$S189)))</f>
        <v/>
      </c>
      <c r="I189" s="19" t="str">
        <f aca="false">IF(OR($S189="",N($C189)=0),"",$C189/100*N(INDEX('Pro قاعدة الأغذية'!$L$5:$L$604,$S189)))</f>
        <v/>
      </c>
      <c r="J189" s="30" t="str">
        <f aca="false">IF($S189="","",INDEX('Pro قاعدة الأغذية'!$E$5:$E$604,$S189))</f>
        <v/>
      </c>
      <c r="S189" s="31" t="str">
        <f aca="false">IF(B189="","",IFERROR(MATCH(B189,'Pro قاعدة الأغذية'!$C$5:$C$604,0),""))</f>
        <v/>
      </c>
    </row>
    <row r="190" customFormat="false" ht="15" hidden="false" customHeight="false" outlineLevel="0" collapsed="false">
      <c r="A190" s="24"/>
      <c r="B190" s="5"/>
      <c r="C190" s="18"/>
      <c r="D190" s="19" t="str">
        <f aca="false">IF(OR($S190="",N($C190)=0),"",$C190/100*N(INDEX('Pro قاعدة الأغذية'!$F$5:$F$604,$S190)))</f>
        <v/>
      </c>
      <c r="E190" s="22" t="str">
        <f aca="false">IF(OR($S190="",N($C190)=0),"",$C190/100*N(INDEX('Pro قاعدة الأغذية'!$G$5:$G$604,$S190)))</f>
        <v/>
      </c>
      <c r="F190" s="22" t="str">
        <f aca="false">IF(OR($S190="",N($C190)=0),"",$C190/100*N(INDEX('Pro قاعدة الأغذية'!$H$5:$H$604,$S190)))</f>
        <v/>
      </c>
      <c r="G190" s="22" t="str">
        <f aca="false">IF(OR($S190="",N($C190)=0),"",$C190/100*N(INDEX('Pro قاعدة الأغذية'!$I$5:$I$604,$S190)))</f>
        <v/>
      </c>
      <c r="H190" s="22" t="str">
        <f aca="false">IF(OR($S190="",N($C190)=0),"",$C190/100*N(INDEX('Pro قاعدة الأغذية'!$J$5:$J$604,$S190)))</f>
        <v/>
      </c>
      <c r="I190" s="19" t="str">
        <f aca="false">IF(OR($S190="",N($C190)=0),"",$C190/100*N(INDEX('Pro قاعدة الأغذية'!$L$5:$L$604,$S190)))</f>
        <v/>
      </c>
      <c r="J190" s="30" t="str">
        <f aca="false">IF($S190="","",INDEX('Pro قاعدة الأغذية'!$E$5:$E$604,$S190))</f>
        <v/>
      </c>
      <c r="S190" s="31" t="str">
        <f aca="false">IF(B190="","",IFERROR(MATCH(B190,'Pro قاعدة الأغذية'!$C$5:$C$604,0),""))</f>
        <v/>
      </c>
    </row>
    <row r="191" customFormat="false" ht="15" hidden="false" customHeight="false" outlineLevel="0" collapsed="false">
      <c r="A191" s="24"/>
      <c r="B191" s="32" t="s">
        <v>91</v>
      </c>
      <c r="C191" s="33" t="n">
        <f aca="false">SUM(C185:C190)</f>
        <v>0</v>
      </c>
      <c r="D191" s="33" t="n">
        <f aca="false">SUM(D185:D190)</f>
        <v>0</v>
      </c>
      <c r="E191" s="33" t="n">
        <f aca="false">SUM(E185:E190)</f>
        <v>0</v>
      </c>
      <c r="F191" s="33" t="n">
        <f aca="false">SUM(F185:F190)</f>
        <v>0</v>
      </c>
      <c r="G191" s="33" t="n">
        <f aca="false">SUM(G185:G190)</f>
        <v>0</v>
      </c>
      <c r="H191" s="34" t="n">
        <f aca="false">SUM(H185:H190)</f>
        <v>0</v>
      </c>
      <c r="I191" s="33" t="n">
        <f aca="false">SUM(I185:I190)</f>
        <v>0</v>
      </c>
      <c r="K191" s="35" t="n">
        <f aca="false">IF(AND(('Pro إعدادات'!$C$38="نعم"),IF($T$148=1,'Pro إعدادات'!$G$39,'Pro إعدادات'!$D$39)&gt;0),'Pro ملف الرياضي'!$H$26*IF($T$148=1,'Pro إعدادات'!$G$38,'Pro إعدادات'!$D$38)/IF($T$148=1,'Pro إعدادات'!$G$39,'Pro إعدادات'!$D$39),0)</f>
        <v>0</v>
      </c>
      <c r="L191" s="35" t="n">
        <f aca="false">IF(AND(('Pro إعدادات'!$C$38="نعم"),IF($T$148=1,'Pro إعدادات'!$H$39,'Pro إعدادات'!$E$39)&gt;0),'Pro ملف الرياضي'!$I$26*IF($T$148=1,'Pro إعدادات'!$H$38,'Pro إعدادات'!$E$38)/IF($T$148=1,'Pro إعدادات'!$H$39,'Pro إعدادات'!$E$39),0)</f>
        <v>0</v>
      </c>
      <c r="M191" s="35" t="n">
        <f aca="false">IF(AND(('Pro إعدادات'!$C$38="نعم"),IF($T$148=1,'Pro إعدادات'!$I$39,'Pro إعدادات'!$F$39)&gt;0),'Pro ملف الرياضي'!$J$26*IF($T$148=1,'Pro إعدادات'!$I$38,'Pro إعدادات'!$F$38)/IF($T$148=1,'Pro إعدادات'!$I$39,'Pro إعدادات'!$F$39),0)</f>
        <v>0</v>
      </c>
      <c r="N191" s="35" t="n">
        <f aca="false">4*K191+4*L191+9*M191</f>
        <v>0</v>
      </c>
      <c r="O191" s="21" t="n">
        <f aca="false">E191-K191</f>
        <v>0</v>
      </c>
      <c r="P191" s="21" t="n">
        <f aca="false">F191-L191</f>
        <v>0</v>
      </c>
      <c r="Q191" s="21" t="n">
        <f aca="false">G191-M191</f>
        <v>0</v>
      </c>
    </row>
    <row r="192" customFormat="false" ht="17.35" hidden="false" customHeight="false" outlineLevel="0" collapsed="false">
      <c r="B192" s="36" t="s">
        <v>103</v>
      </c>
      <c r="C192" s="33" t="n">
        <f aca="false">C156+C163+C170+C177+C184+C191</f>
        <v>0</v>
      </c>
      <c r="D192" s="35" t="n">
        <f aca="false">D156+D163+D170+D177+D184+D191</f>
        <v>0</v>
      </c>
      <c r="E192" s="35" t="n">
        <f aca="false">E156+E163+E170+E177+E184+E191</f>
        <v>0</v>
      </c>
      <c r="F192" s="35" t="n">
        <f aca="false">F156+F163+F170+F177+F184+F191</f>
        <v>0</v>
      </c>
      <c r="G192" s="35" t="n">
        <f aca="false">G156+G163+G170+G177+G184+G191</f>
        <v>0</v>
      </c>
      <c r="H192" s="37" t="n">
        <f aca="false">H156+H163+H170+H177+H184+H191</f>
        <v>0</v>
      </c>
      <c r="I192" s="35" t="n">
        <f aca="false">I156+I163+I170+I177+I184+I191</f>
        <v>0</v>
      </c>
      <c r="K192" s="35" t="n">
        <f aca="false">K156+K163+K170+K177+K184+K191</f>
        <v>144</v>
      </c>
      <c r="L192" s="35" t="n">
        <f aca="false">L156+L163+L170+L177+L184+L191</f>
        <v>480</v>
      </c>
      <c r="M192" s="35" t="n">
        <f aca="false">M156+M163+M170+M177+M184+M191</f>
        <v>72</v>
      </c>
      <c r="N192" s="35" t="n">
        <f aca="false">N156+N163+N170+N177+N184+N191</f>
        <v>3144</v>
      </c>
    </row>
    <row r="193" customFormat="false" ht="15" hidden="false" customHeight="false" outlineLevel="0" collapsed="false">
      <c r="B193" s="32" t="s">
        <v>104</v>
      </c>
      <c r="D193" s="21" t="n">
        <f aca="false">D192-'Pro ملف الرياضي'!G26</f>
        <v>-2835.75</v>
      </c>
      <c r="E193" s="21" t="n">
        <f aca="false">E192-'Pro ملف الرياضي'!H26</f>
        <v>-144</v>
      </c>
      <c r="F193" s="21" t="n">
        <f aca="false">F192-'Pro ملف الرياضي'!I26</f>
        <v>-480</v>
      </c>
      <c r="G193" s="21" t="n">
        <f aca="false">G192-'Pro ملف الرياضي'!J26</f>
        <v>-72</v>
      </c>
    </row>
    <row r="194" customFormat="false" ht="15" hidden="false" customHeight="false" outlineLevel="0" collapsed="false">
      <c r="B194" s="32" t="s">
        <v>80</v>
      </c>
      <c r="D194" s="38" t="str">
        <f aca="false">IF(AND(ABS(E193)&lt;='Pro إعدادات'!$B$28*2,ABS(F193)&lt;='Pro إعدادات'!$B$28*3,ABS(G193)&lt;='Pro إعدادات'!$B$28*2),"✔ ضمن السماحية","◐ راجع الفروقات")</f>
        <v>◐ راجع الفروقات</v>
      </c>
    </row>
    <row r="196" customFormat="false" ht="17.35" hidden="false" customHeight="false" outlineLevel="0" collapsed="false">
      <c r="A196" s="28" t="str">
        <f aca="false">"الخميس — "&amp;'Pro ملف الرياضي'!B27&amp;"  |  الهدف: "&amp;ROUND('Pro ملف الرياضي'!G27,0)&amp;" kcal  •  بروتين "&amp;ROUND('Pro ملف الرياضي'!H27,0)&amp;" جم  •  كارب "&amp;ROUND('Pro ملف الرياضي'!I27,0)&amp;" جم  •  دهون "&amp;ROUND('Pro ملف الرياضي'!J27,0)&amp;" جم"</f>
        <v>الخميس — تدريب متوسط  |  الهدف: 2671 kcal  •  بروتين 144 جم  •  كارب 400 جم  •  دهون 72 جم</v>
      </c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T196" s="29" t="n">
        <f aca="false">IF(INDEX('Pro إعدادات'!$D$14:$D$19,MATCH('Pro ملف الرياضي'!B27,'Pro إعدادات'!$A$14:$A$19,0))="نعم",1,0)</f>
        <v>1</v>
      </c>
    </row>
    <row r="197" customFormat="false" ht="15" hidden="false" customHeight="false" outlineLevel="0" collapsed="false">
      <c r="A197" s="15" t="s">
        <v>74</v>
      </c>
      <c r="B197" s="15" t="s">
        <v>75</v>
      </c>
      <c r="C197" s="15" t="s">
        <v>76</v>
      </c>
      <c r="D197" s="15" t="s">
        <v>77</v>
      </c>
      <c r="E197" s="15" t="s">
        <v>38</v>
      </c>
      <c r="F197" s="15" t="s">
        <v>39</v>
      </c>
      <c r="G197" s="15" t="s">
        <v>40</v>
      </c>
      <c r="H197" s="15" t="s">
        <v>78</v>
      </c>
      <c r="I197" s="15" t="s">
        <v>79</v>
      </c>
      <c r="J197" s="15" t="s">
        <v>80</v>
      </c>
      <c r="K197" s="15" t="s">
        <v>81</v>
      </c>
      <c r="L197" s="15" t="s">
        <v>82</v>
      </c>
      <c r="M197" s="15" t="s">
        <v>83</v>
      </c>
      <c r="N197" s="15" t="s">
        <v>84</v>
      </c>
      <c r="O197" s="15" t="s">
        <v>85</v>
      </c>
      <c r="P197" s="15" t="s">
        <v>86</v>
      </c>
      <c r="Q197" s="15" t="s">
        <v>87</v>
      </c>
    </row>
    <row r="198" customFormat="false" ht="15" hidden="false" customHeight="false" outlineLevel="0" collapsed="false">
      <c r="A198" s="14" t="str">
        <f aca="false">'Pro إعدادات'!A33&amp;" ("&amp;'Pro إعدادات'!B33&amp;")"</f>
        <v>الإفطار (07:30)</v>
      </c>
      <c r="B198" s="5"/>
      <c r="C198" s="18"/>
      <c r="D198" s="19" t="str">
        <f aca="false">IF(OR($S198="",N($C198)=0),"",$C198/100*N(INDEX('Pro قاعدة الأغذية'!$F$5:$F$604,$S198)))</f>
        <v/>
      </c>
      <c r="E198" s="22" t="str">
        <f aca="false">IF(OR($S198="",N($C198)=0),"",$C198/100*N(INDEX('Pro قاعدة الأغذية'!$G$5:$G$604,$S198)))</f>
        <v/>
      </c>
      <c r="F198" s="22" t="str">
        <f aca="false">IF(OR($S198="",N($C198)=0),"",$C198/100*N(INDEX('Pro قاعدة الأغذية'!$H$5:$H$604,$S198)))</f>
        <v/>
      </c>
      <c r="G198" s="22" t="str">
        <f aca="false">IF(OR($S198="",N($C198)=0),"",$C198/100*N(INDEX('Pro قاعدة الأغذية'!$I$5:$I$604,$S198)))</f>
        <v/>
      </c>
      <c r="H198" s="22" t="str">
        <f aca="false">IF(OR($S198="",N($C198)=0),"",$C198/100*N(INDEX('Pro قاعدة الأغذية'!$J$5:$J$604,$S198)))</f>
        <v/>
      </c>
      <c r="I198" s="19" t="str">
        <f aca="false">IF(OR($S198="",N($C198)=0),"",$C198/100*N(INDEX('Pro قاعدة الأغذية'!$L$5:$L$604,$S198)))</f>
        <v/>
      </c>
      <c r="J198" s="30" t="str">
        <f aca="false">IF($S198="","",INDEX('Pro قاعدة الأغذية'!$E$5:$E$604,$S198))</f>
        <v/>
      </c>
      <c r="S198" s="31" t="str">
        <f aca="false">IF(B198="","",IFERROR(MATCH(B198,'Pro قاعدة الأغذية'!$C$5:$C$604,0),""))</f>
        <v/>
      </c>
    </row>
    <row r="199" customFormat="false" ht="15" hidden="false" customHeight="false" outlineLevel="0" collapsed="false">
      <c r="A199" s="24"/>
      <c r="B199" s="5"/>
      <c r="C199" s="18"/>
      <c r="D199" s="19" t="str">
        <f aca="false">IF(OR($S199="",N($C199)=0),"",$C199/100*N(INDEX('Pro قاعدة الأغذية'!$F$5:$F$604,$S199)))</f>
        <v/>
      </c>
      <c r="E199" s="22" t="str">
        <f aca="false">IF(OR($S199="",N($C199)=0),"",$C199/100*N(INDEX('Pro قاعدة الأغذية'!$G$5:$G$604,$S199)))</f>
        <v/>
      </c>
      <c r="F199" s="22" t="str">
        <f aca="false">IF(OR($S199="",N($C199)=0),"",$C199/100*N(INDEX('Pro قاعدة الأغذية'!$H$5:$H$604,$S199)))</f>
        <v/>
      </c>
      <c r="G199" s="22" t="str">
        <f aca="false">IF(OR($S199="",N($C199)=0),"",$C199/100*N(INDEX('Pro قاعدة الأغذية'!$I$5:$I$604,$S199)))</f>
        <v/>
      </c>
      <c r="H199" s="22" t="str">
        <f aca="false">IF(OR($S199="",N($C199)=0),"",$C199/100*N(INDEX('Pro قاعدة الأغذية'!$J$5:$J$604,$S199)))</f>
        <v/>
      </c>
      <c r="I199" s="19" t="str">
        <f aca="false">IF(OR($S199="",N($C199)=0),"",$C199/100*N(INDEX('Pro قاعدة الأغذية'!$L$5:$L$604,$S199)))</f>
        <v/>
      </c>
      <c r="J199" s="30" t="str">
        <f aca="false">IF($S199="","",INDEX('Pro قاعدة الأغذية'!$E$5:$E$604,$S199))</f>
        <v/>
      </c>
      <c r="S199" s="31" t="str">
        <f aca="false">IF(B199="","",IFERROR(MATCH(B199,'Pro قاعدة الأغذية'!$C$5:$C$604,0),""))</f>
        <v/>
      </c>
    </row>
    <row r="200" customFormat="false" ht="15" hidden="false" customHeight="false" outlineLevel="0" collapsed="false">
      <c r="A200" s="24"/>
      <c r="B200" s="5"/>
      <c r="C200" s="18"/>
      <c r="D200" s="19" t="str">
        <f aca="false">IF(OR($S200="",N($C200)=0),"",$C200/100*N(INDEX('Pro قاعدة الأغذية'!$F$5:$F$604,$S200)))</f>
        <v/>
      </c>
      <c r="E200" s="22" t="str">
        <f aca="false">IF(OR($S200="",N($C200)=0),"",$C200/100*N(INDEX('Pro قاعدة الأغذية'!$G$5:$G$604,$S200)))</f>
        <v/>
      </c>
      <c r="F200" s="22" t="str">
        <f aca="false">IF(OR($S200="",N($C200)=0),"",$C200/100*N(INDEX('Pro قاعدة الأغذية'!$H$5:$H$604,$S200)))</f>
        <v/>
      </c>
      <c r="G200" s="22" t="str">
        <f aca="false">IF(OR($S200="",N($C200)=0),"",$C200/100*N(INDEX('Pro قاعدة الأغذية'!$I$5:$I$604,$S200)))</f>
        <v/>
      </c>
      <c r="H200" s="22" t="str">
        <f aca="false">IF(OR($S200="",N($C200)=0),"",$C200/100*N(INDEX('Pro قاعدة الأغذية'!$J$5:$J$604,$S200)))</f>
        <v/>
      </c>
      <c r="I200" s="19" t="str">
        <f aca="false">IF(OR($S200="",N($C200)=0),"",$C200/100*N(INDEX('Pro قاعدة الأغذية'!$L$5:$L$604,$S200)))</f>
        <v/>
      </c>
      <c r="J200" s="30" t="str">
        <f aca="false">IF($S200="","",INDEX('Pro قاعدة الأغذية'!$E$5:$E$604,$S200))</f>
        <v/>
      </c>
      <c r="S200" s="31" t="str">
        <f aca="false">IF(B200="","",IFERROR(MATCH(B200,'Pro قاعدة الأغذية'!$C$5:$C$604,0),""))</f>
        <v/>
      </c>
    </row>
    <row r="201" customFormat="false" ht="15" hidden="false" customHeight="false" outlineLevel="0" collapsed="false">
      <c r="A201" s="24"/>
      <c r="B201" s="5"/>
      <c r="C201" s="18"/>
      <c r="D201" s="19" t="str">
        <f aca="false">IF(OR($S201="",N($C201)=0),"",$C201/100*N(INDEX('Pro قاعدة الأغذية'!$F$5:$F$604,$S201)))</f>
        <v/>
      </c>
      <c r="E201" s="22" t="str">
        <f aca="false">IF(OR($S201="",N($C201)=0),"",$C201/100*N(INDEX('Pro قاعدة الأغذية'!$G$5:$G$604,$S201)))</f>
        <v/>
      </c>
      <c r="F201" s="22" t="str">
        <f aca="false">IF(OR($S201="",N($C201)=0),"",$C201/100*N(INDEX('Pro قاعدة الأغذية'!$H$5:$H$604,$S201)))</f>
        <v/>
      </c>
      <c r="G201" s="22" t="str">
        <f aca="false">IF(OR($S201="",N($C201)=0),"",$C201/100*N(INDEX('Pro قاعدة الأغذية'!$I$5:$I$604,$S201)))</f>
        <v/>
      </c>
      <c r="H201" s="22" t="str">
        <f aca="false">IF(OR($S201="",N($C201)=0),"",$C201/100*N(INDEX('Pro قاعدة الأغذية'!$J$5:$J$604,$S201)))</f>
        <v/>
      </c>
      <c r="I201" s="19" t="str">
        <f aca="false">IF(OR($S201="",N($C201)=0),"",$C201/100*N(INDEX('Pro قاعدة الأغذية'!$L$5:$L$604,$S201)))</f>
        <v/>
      </c>
      <c r="J201" s="30" t="str">
        <f aca="false">IF($S201="","",INDEX('Pro قاعدة الأغذية'!$E$5:$E$604,$S201))</f>
        <v/>
      </c>
      <c r="S201" s="31" t="str">
        <f aca="false">IF(B201="","",IFERROR(MATCH(B201,'Pro قاعدة الأغذية'!$C$5:$C$604,0),""))</f>
        <v/>
      </c>
    </row>
    <row r="202" customFormat="false" ht="15" hidden="false" customHeight="false" outlineLevel="0" collapsed="false">
      <c r="A202" s="24"/>
      <c r="B202" s="5"/>
      <c r="C202" s="18"/>
      <c r="D202" s="19" t="str">
        <f aca="false">IF(OR($S202="",N($C202)=0),"",$C202/100*N(INDEX('Pro قاعدة الأغذية'!$F$5:$F$604,$S202)))</f>
        <v/>
      </c>
      <c r="E202" s="22" t="str">
        <f aca="false">IF(OR($S202="",N($C202)=0),"",$C202/100*N(INDEX('Pro قاعدة الأغذية'!$G$5:$G$604,$S202)))</f>
        <v/>
      </c>
      <c r="F202" s="22" t="str">
        <f aca="false">IF(OR($S202="",N($C202)=0),"",$C202/100*N(INDEX('Pro قاعدة الأغذية'!$H$5:$H$604,$S202)))</f>
        <v/>
      </c>
      <c r="G202" s="22" t="str">
        <f aca="false">IF(OR($S202="",N($C202)=0),"",$C202/100*N(INDEX('Pro قاعدة الأغذية'!$I$5:$I$604,$S202)))</f>
        <v/>
      </c>
      <c r="H202" s="22" t="str">
        <f aca="false">IF(OR($S202="",N($C202)=0),"",$C202/100*N(INDEX('Pro قاعدة الأغذية'!$J$5:$J$604,$S202)))</f>
        <v/>
      </c>
      <c r="I202" s="19" t="str">
        <f aca="false">IF(OR($S202="",N($C202)=0),"",$C202/100*N(INDEX('Pro قاعدة الأغذية'!$L$5:$L$604,$S202)))</f>
        <v/>
      </c>
      <c r="J202" s="30" t="str">
        <f aca="false">IF($S202="","",INDEX('Pro قاعدة الأغذية'!$E$5:$E$604,$S202))</f>
        <v/>
      </c>
      <c r="S202" s="31" t="str">
        <f aca="false">IF(B202="","",IFERROR(MATCH(B202,'Pro قاعدة الأغذية'!$C$5:$C$604,0),""))</f>
        <v/>
      </c>
    </row>
    <row r="203" customFormat="false" ht="15" hidden="false" customHeight="false" outlineLevel="0" collapsed="false">
      <c r="A203" s="24"/>
      <c r="B203" s="5"/>
      <c r="C203" s="18"/>
      <c r="D203" s="19" t="str">
        <f aca="false">IF(OR($S203="",N($C203)=0),"",$C203/100*N(INDEX('Pro قاعدة الأغذية'!$F$5:$F$604,$S203)))</f>
        <v/>
      </c>
      <c r="E203" s="22" t="str">
        <f aca="false">IF(OR($S203="",N($C203)=0),"",$C203/100*N(INDEX('Pro قاعدة الأغذية'!$G$5:$G$604,$S203)))</f>
        <v/>
      </c>
      <c r="F203" s="22" t="str">
        <f aca="false">IF(OR($S203="",N($C203)=0),"",$C203/100*N(INDEX('Pro قاعدة الأغذية'!$H$5:$H$604,$S203)))</f>
        <v/>
      </c>
      <c r="G203" s="22" t="str">
        <f aca="false">IF(OR($S203="",N($C203)=0),"",$C203/100*N(INDEX('Pro قاعدة الأغذية'!$I$5:$I$604,$S203)))</f>
        <v/>
      </c>
      <c r="H203" s="22" t="str">
        <f aca="false">IF(OR($S203="",N($C203)=0),"",$C203/100*N(INDEX('Pro قاعدة الأغذية'!$J$5:$J$604,$S203)))</f>
        <v/>
      </c>
      <c r="I203" s="19" t="str">
        <f aca="false">IF(OR($S203="",N($C203)=0),"",$C203/100*N(INDEX('Pro قاعدة الأغذية'!$L$5:$L$604,$S203)))</f>
        <v/>
      </c>
      <c r="J203" s="30" t="str">
        <f aca="false">IF($S203="","",INDEX('Pro قاعدة الأغذية'!$E$5:$E$604,$S203))</f>
        <v/>
      </c>
      <c r="S203" s="31" t="str">
        <f aca="false">IF(B203="","",IFERROR(MATCH(B203,'Pro قاعدة الأغذية'!$C$5:$C$604,0),""))</f>
        <v/>
      </c>
    </row>
    <row r="204" customFormat="false" ht="15" hidden="false" customHeight="false" outlineLevel="0" collapsed="false">
      <c r="A204" s="24"/>
      <c r="B204" s="32" t="s">
        <v>91</v>
      </c>
      <c r="C204" s="33" t="n">
        <f aca="false">SUM(C198:C203)</f>
        <v>0</v>
      </c>
      <c r="D204" s="33" t="n">
        <f aca="false">SUM(D198:D203)</f>
        <v>0</v>
      </c>
      <c r="E204" s="33" t="n">
        <f aca="false">SUM(E198:E203)</f>
        <v>0</v>
      </c>
      <c r="F204" s="33" t="n">
        <f aca="false">SUM(F198:F203)</f>
        <v>0</v>
      </c>
      <c r="G204" s="33" t="n">
        <f aca="false">SUM(G198:G203)</f>
        <v>0</v>
      </c>
      <c r="H204" s="34" t="n">
        <f aca="false">SUM(H198:H203)</f>
        <v>0</v>
      </c>
      <c r="I204" s="33" t="n">
        <f aca="false">SUM(I198:I203)</f>
        <v>0</v>
      </c>
      <c r="K204" s="35" t="n">
        <f aca="false">IF(AND(('Pro إعدادات'!$C$33="نعم"),IF($T$196=1,'Pro إعدادات'!$G$39,'Pro إعدادات'!$D$39)&gt;0),'Pro ملف الرياضي'!$H$27*IF($T$196=1,'Pro إعدادات'!$G$33,'Pro إعدادات'!$D$33)/IF($T$196=1,'Pro إعدادات'!$G$39,'Pro إعدادات'!$D$39),0)</f>
        <v>28.8</v>
      </c>
      <c r="L204" s="35" t="n">
        <f aca="false">IF(AND(('Pro إعدادات'!$C$33="نعم"),IF($T$196=1,'Pro إعدادات'!$H$39,'Pro إعدادات'!$E$39)&gt;0),'Pro ملف الرياضي'!$I$27*IF($T$196=1,'Pro إعدادات'!$H$33,'Pro إعدادات'!$E$33)/IF($T$196=1,'Pro إعدادات'!$H$39,'Pro إعدادات'!$E$39),0)</f>
        <v>80</v>
      </c>
      <c r="M204" s="35" t="n">
        <f aca="false">IF(AND(('Pro إعدادات'!$C$33="نعم"),IF($T$196=1,'Pro إعدادات'!$I$39,'Pro إعدادات'!$F$39)&gt;0),'Pro ملف الرياضي'!$J$27*IF($T$196=1,'Pro إعدادات'!$I$33,'Pro إعدادات'!$F$33)/IF($T$196=1,'Pro إعدادات'!$I$39,'Pro إعدادات'!$F$39),0)</f>
        <v>18</v>
      </c>
      <c r="N204" s="35" t="n">
        <f aca="false">4*K204+4*L204+9*M204</f>
        <v>597.2</v>
      </c>
      <c r="O204" s="21" t="n">
        <f aca="false">E204-K204</f>
        <v>-28.8</v>
      </c>
      <c r="P204" s="21" t="n">
        <f aca="false">F204-L204</f>
        <v>-80</v>
      </c>
      <c r="Q204" s="21" t="n">
        <f aca="false">G204-M204</f>
        <v>-18</v>
      </c>
    </row>
    <row r="205" customFormat="false" ht="15" hidden="false" customHeight="false" outlineLevel="0" collapsed="false">
      <c r="A205" s="14" t="str">
        <f aca="false">'Pro إعدادات'!A34&amp;" ("&amp;'Pro إعدادات'!B34&amp;")"</f>
        <v>سناك 1 / قبل التدريب (10:30)</v>
      </c>
      <c r="B205" s="5"/>
      <c r="C205" s="18"/>
      <c r="D205" s="19" t="str">
        <f aca="false">IF(OR($S205="",N($C205)=0),"",$C205/100*N(INDEX('Pro قاعدة الأغذية'!$F$5:$F$604,$S205)))</f>
        <v/>
      </c>
      <c r="E205" s="22" t="str">
        <f aca="false">IF(OR($S205="",N($C205)=0),"",$C205/100*N(INDEX('Pro قاعدة الأغذية'!$G$5:$G$604,$S205)))</f>
        <v/>
      </c>
      <c r="F205" s="22" t="str">
        <f aca="false">IF(OR($S205="",N($C205)=0),"",$C205/100*N(INDEX('Pro قاعدة الأغذية'!$H$5:$H$604,$S205)))</f>
        <v/>
      </c>
      <c r="G205" s="22" t="str">
        <f aca="false">IF(OR($S205="",N($C205)=0),"",$C205/100*N(INDEX('Pro قاعدة الأغذية'!$I$5:$I$604,$S205)))</f>
        <v/>
      </c>
      <c r="H205" s="22" t="str">
        <f aca="false">IF(OR($S205="",N($C205)=0),"",$C205/100*N(INDEX('Pro قاعدة الأغذية'!$J$5:$J$604,$S205)))</f>
        <v/>
      </c>
      <c r="I205" s="19" t="str">
        <f aca="false">IF(OR($S205="",N($C205)=0),"",$C205/100*N(INDEX('Pro قاعدة الأغذية'!$L$5:$L$604,$S205)))</f>
        <v/>
      </c>
      <c r="J205" s="30" t="str">
        <f aca="false">IF($S205="","",INDEX('Pro قاعدة الأغذية'!$E$5:$E$604,$S205))</f>
        <v/>
      </c>
      <c r="S205" s="31" t="str">
        <f aca="false">IF(B205="","",IFERROR(MATCH(B205,'Pro قاعدة الأغذية'!$C$5:$C$604,0),""))</f>
        <v/>
      </c>
    </row>
    <row r="206" customFormat="false" ht="15" hidden="false" customHeight="false" outlineLevel="0" collapsed="false">
      <c r="A206" s="24"/>
      <c r="B206" s="5"/>
      <c r="C206" s="18"/>
      <c r="D206" s="19" t="str">
        <f aca="false">IF(OR($S206="",N($C206)=0),"",$C206/100*N(INDEX('Pro قاعدة الأغذية'!$F$5:$F$604,$S206)))</f>
        <v/>
      </c>
      <c r="E206" s="22" t="str">
        <f aca="false">IF(OR($S206="",N($C206)=0),"",$C206/100*N(INDEX('Pro قاعدة الأغذية'!$G$5:$G$604,$S206)))</f>
        <v/>
      </c>
      <c r="F206" s="22" t="str">
        <f aca="false">IF(OR($S206="",N($C206)=0),"",$C206/100*N(INDEX('Pro قاعدة الأغذية'!$H$5:$H$604,$S206)))</f>
        <v/>
      </c>
      <c r="G206" s="22" t="str">
        <f aca="false">IF(OR($S206="",N($C206)=0),"",$C206/100*N(INDEX('Pro قاعدة الأغذية'!$I$5:$I$604,$S206)))</f>
        <v/>
      </c>
      <c r="H206" s="22" t="str">
        <f aca="false">IF(OR($S206="",N($C206)=0),"",$C206/100*N(INDEX('Pro قاعدة الأغذية'!$J$5:$J$604,$S206)))</f>
        <v/>
      </c>
      <c r="I206" s="19" t="str">
        <f aca="false">IF(OR($S206="",N($C206)=0),"",$C206/100*N(INDEX('Pro قاعدة الأغذية'!$L$5:$L$604,$S206)))</f>
        <v/>
      </c>
      <c r="J206" s="30" t="str">
        <f aca="false">IF($S206="","",INDEX('Pro قاعدة الأغذية'!$E$5:$E$604,$S206))</f>
        <v/>
      </c>
      <c r="S206" s="31" t="str">
        <f aca="false">IF(B206="","",IFERROR(MATCH(B206,'Pro قاعدة الأغذية'!$C$5:$C$604,0),""))</f>
        <v/>
      </c>
    </row>
    <row r="207" customFormat="false" ht="15" hidden="false" customHeight="false" outlineLevel="0" collapsed="false">
      <c r="A207" s="24"/>
      <c r="B207" s="5"/>
      <c r="C207" s="18"/>
      <c r="D207" s="19" t="str">
        <f aca="false">IF(OR($S207="",N($C207)=0),"",$C207/100*N(INDEX('Pro قاعدة الأغذية'!$F$5:$F$604,$S207)))</f>
        <v/>
      </c>
      <c r="E207" s="22" t="str">
        <f aca="false">IF(OR($S207="",N($C207)=0),"",$C207/100*N(INDEX('Pro قاعدة الأغذية'!$G$5:$G$604,$S207)))</f>
        <v/>
      </c>
      <c r="F207" s="22" t="str">
        <f aca="false">IF(OR($S207="",N($C207)=0),"",$C207/100*N(INDEX('Pro قاعدة الأغذية'!$H$5:$H$604,$S207)))</f>
        <v/>
      </c>
      <c r="G207" s="22" t="str">
        <f aca="false">IF(OR($S207="",N($C207)=0),"",$C207/100*N(INDEX('Pro قاعدة الأغذية'!$I$5:$I$604,$S207)))</f>
        <v/>
      </c>
      <c r="H207" s="22" t="str">
        <f aca="false">IF(OR($S207="",N($C207)=0),"",$C207/100*N(INDEX('Pro قاعدة الأغذية'!$J$5:$J$604,$S207)))</f>
        <v/>
      </c>
      <c r="I207" s="19" t="str">
        <f aca="false">IF(OR($S207="",N($C207)=0),"",$C207/100*N(INDEX('Pro قاعدة الأغذية'!$L$5:$L$604,$S207)))</f>
        <v/>
      </c>
      <c r="J207" s="30" t="str">
        <f aca="false">IF($S207="","",INDEX('Pro قاعدة الأغذية'!$E$5:$E$604,$S207))</f>
        <v/>
      </c>
      <c r="S207" s="31" t="str">
        <f aca="false">IF(B207="","",IFERROR(MATCH(B207,'Pro قاعدة الأغذية'!$C$5:$C$604,0),""))</f>
        <v/>
      </c>
    </row>
    <row r="208" customFormat="false" ht="15" hidden="false" customHeight="false" outlineLevel="0" collapsed="false">
      <c r="A208" s="24"/>
      <c r="B208" s="5"/>
      <c r="C208" s="18"/>
      <c r="D208" s="19" t="str">
        <f aca="false">IF(OR($S208="",N($C208)=0),"",$C208/100*N(INDEX('Pro قاعدة الأغذية'!$F$5:$F$604,$S208)))</f>
        <v/>
      </c>
      <c r="E208" s="22" t="str">
        <f aca="false">IF(OR($S208="",N($C208)=0),"",$C208/100*N(INDEX('Pro قاعدة الأغذية'!$G$5:$G$604,$S208)))</f>
        <v/>
      </c>
      <c r="F208" s="22" t="str">
        <f aca="false">IF(OR($S208="",N($C208)=0),"",$C208/100*N(INDEX('Pro قاعدة الأغذية'!$H$5:$H$604,$S208)))</f>
        <v/>
      </c>
      <c r="G208" s="22" t="str">
        <f aca="false">IF(OR($S208="",N($C208)=0),"",$C208/100*N(INDEX('Pro قاعدة الأغذية'!$I$5:$I$604,$S208)))</f>
        <v/>
      </c>
      <c r="H208" s="22" t="str">
        <f aca="false">IF(OR($S208="",N($C208)=0),"",$C208/100*N(INDEX('Pro قاعدة الأغذية'!$J$5:$J$604,$S208)))</f>
        <v/>
      </c>
      <c r="I208" s="19" t="str">
        <f aca="false">IF(OR($S208="",N($C208)=0),"",$C208/100*N(INDEX('Pro قاعدة الأغذية'!$L$5:$L$604,$S208)))</f>
        <v/>
      </c>
      <c r="J208" s="30" t="str">
        <f aca="false">IF($S208="","",INDEX('Pro قاعدة الأغذية'!$E$5:$E$604,$S208))</f>
        <v/>
      </c>
      <c r="S208" s="31" t="str">
        <f aca="false">IF(B208="","",IFERROR(MATCH(B208,'Pro قاعدة الأغذية'!$C$5:$C$604,0),""))</f>
        <v/>
      </c>
    </row>
    <row r="209" customFormat="false" ht="15" hidden="false" customHeight="false" outlineLevel="0" collapsed="false">
      <c r="A209" s="24"/>
      <c r="B209" s="5"/>
      <c r="C209" s="18"/>
      <c r="D209" s="19" t="str">
        <f aca="false">IF(OR($S209="",N($C209)=0),"",$C209/100*N(INDEX('Pro قاعدة الأغذية'!$F$5:$F$604,$S209)))</f>
        <v/>
      </c>
      <c r="E209" s="22" t="str">
        <f aca="false">IF(OR($S209="",N($C209)=0),"",$C209/100*N(INDEX('Pro قاعدة الأغذية'!$G$5:$G$604,$S209)))</f>
        <v/>
      </c>
      <c r="F209" s="22" t="str">
        <f aca="false">IF(OR($S209="",N($C209)=0),"",$C209/100*N(INDEX('Pro قاعدة الأغذية'!$H$5:$H$604,$S209)))</f>
        <v/>
      </c>
      <c r="G209" s="22" t="str">
        <f aca="false">IF(OR($S209="",N($C209)=0),"",$C209/100*N(INDEX('Pro قاعدة الأغذية'!$I$5:$I$604,$S209)))</f>
        <v/>
      </c>
      <c r="H209" s="22" t="str">
        <f aca="false">IF(OR($S209="",N($C209)=0),"",$C209/100*N(INDEX('Pro قاعدة الأغذية'!$J$5:$J$604,$S209)))</f>
        <v/>
      </c>
      <c r="I209" s="19" t="str">
        <f aca="false">IF(OR($S209="",N($C209)=0),"",$C209/100*N(INDEX('Pro قاعدة الأغذية'!$L$5:$L$604,$S209)))</f>
        <v/>
      </c>
      <c r="J209" s="30" t="str">
        <f aca="false">IF($S209="","",INDEX('Pro قاعدة الأغذية'!$E$5:$E$604,$S209))</f>
        <v/>
      </c>
      <c r="S209" s="31" t="str">
        <f aca="false">IF(B209="","",IFERROR(MATCH(B209,'Pro قاعدة الأغذية'!$C$5:$C$604,0),""))</f>
        <v/>
      </c>
    </row>
    <row r="210" customFormat="false" ht="15" hidden="false" customHeight="false" outlineLevel="0" collapsed="false">
      <c r="A210" s="24"/>
      <c r="B210" s="5"/>
      <c r="C210" s="18"/>
      <c r="D210" s="19" t="str">
        <f aca="false">IF(OR($S210="",N($C210)=0),"",$C210/100*N(INDEX('Pro قاعدة الأغذية'!$F$5:$F$604,$S210)))</f>
        <v/>
      </c>
      <c r="E210" s="22" t="str">
        <f aca="false">IF(OR($S210="",N($C210)=0),"",$C210/100*N(INDEX('Pro قاعدة الأغذية'!$G$5:$G$604,$S210)))</f>
        <v/>
      </c>
      <c r="F210" s="22" t="str">
        <f aca="false">IF(OR($S210="",N($C210)=0),"",$C210/100*N(INDEX('Pro قاعدة الأغذية'!$H$5:$H$604,$S210)))</f>
        <v/>
      </c>
      <c r="G210" s="22" t="str">
        <f aca="false">IF(OR($S210="",N($C210)=0),"",$C210/100*N(INDEX('Pro قاعدة الأغذية'!$I$5:$I$604,$S210)))</f>
        <v/>
      </c>
      <c r="H210" s="22" t="str">
        <f aca="false">IF(OR($S210="",N($C210)=0),"",$C210/100*N(INDEX('Pro قاعدة الأغذية'!$J$5:$J$604,$S210)))</f>
        <v/>
      </c>
      <c r="I210" s="19" t="str">
        <f aca="false">IF(OR($S210="",N($C210)=0),"",$C210/100*N(INDEX('Pro قاعدة الأغذية'!$L$5:$L$604,$S210)))</f>
        <v/>
      </c>
      <c r="J210" s="30" t="str">
        <f aca="false">IF($S210="","",INDEX('Pro قاعدة الأغذية'!$E$5:$E$604,$S210))</f>
        <v/>
      </c>
      <c r="S210" s="31" t="str">
        <f aca="false">IF(B210="","",IFERROR(MATCH(B210,'Pro قاعدة الأغذية'!$C$5:$C$604,0),""))</f>
        <v/>
      </c>
    </row>
    <row r="211" customFormat="false" ht="15" hidden="false" customHeight="false" outlineLevel="0" collapsed="false">
      <c r="A211" s="24"/>
      <c r="B211" s="32" t="s">
        <v>91</v>
      </c>
      <c r="C211" s="33" t="n">
        <f aca="false">SUM(C205:C210)</f>
        <v>0</v>
      </c>
      <c r="D211" s="33" t="n">
        <f aca="false">SUM(D205:D210)</f>
        <v>0</v>
      </c>
      <c r="E211" s="33" t="n">
        <f aca="false">SUM(E205:E210)</f>
        <v>0</v>
      </c>
      <c r="F211" s="33" t="n">
        <f aca="false">SUM(F205:F210)</f>
        <v>0</v>
      </c>
      <c r="G211" s="33" t="n">
        <f aca="false">SUM(G205:G210)</f>
        <v>0</v>
      </c>
      <c r="H211" s="34" t="n">
        <f aca="false">SUM(H205:H210)</f>
        <v>0</v>
      </c>
      <c r="I211" s="33" t="n">
        <f aca="false">SUM(I205:I210)</f>
        <v>0</v>
      </c>
      <c r="K211" s="35" t="n">
        <f aca="false">IF(AND(('Pro إعدادات'!$C$34="نعم"),IF($T$196=1,'Pro إعدادات'!$G$39,'Pro إعدادات'!$D$39)&gt;0),'Pro ملف الرياضي'!$H$27*IF($T$196=1,'Pro إعدادات'!$G$34,'Pro إعدادات'!$D$34)/IF($T$196=1,'Pro إعدادات'!$G$39,'Pro إعدادات'!$D$39),0)</f>
        <v>14.4</v>
      </c>
      <c r="L211" s="35" t="n">
        <f aca="false">IF(AND(('Pro إعدادات'!$C$34="نعم"),IF($T$196=1,'Pro إعدادات'!$H$39,'Pro إعدادات'!$E$39)&gt;0),'Pro ملف الرياضي'!$I$27*IF($T$196=1,'Pro إعدادات'!$H$34,'Pro إعدادات'!$E$34)/IF($T$196=1,'Pro إعدادات'!$H$39,'Pro إعدادات'!$E$39),0)</f>
        <v>60</v>
      </c>
      <c r="M211" s="35" t="n">
        <f aca="false">IF(AND(('Pro إعدادات'!$C$34="نعم"),IF($T$196=1,'Pro إعدادات'!$I$39,'Pro إعدادات'!$F$39)&gt;0),'Pro ملف الرياضي'!$J$27*IF($T$196=1,'Pro إعدادات'!$I$34,'Pro إعدادات'!$F$34)/IF($T$196=1,'Pro إعدادات'!$I$39,'Pro إعدادات'!$F$39),0)</f>
        <v>3.6</v>
      </c>
      <c r="N211" s="35" t="n">
        <f aca="false">4*K211+4*L211+9*M211</f>
        <v>330</v>
      </c>
      <c r="O211" s="21" t="n">
        <f aca="false">E211-K211</f>
        <v>-14.4</v>
      </c>
      <c r="P211" s="21" t="n">
        <f aca="false">F211-L211</f>
        <v>-60</v>
      </c>
      <c r="Q211" s="21" t="n">
        <f aca="false">G211-M211</f>
        <v>-3.6</v>
      </c>
    </row>
    <row r="212" customFormat="false" ht="15" hidden="false" customHeight="false" outlineLevel="0" collapsed="false">
      <c r="A212" s="14" t="str">
        <f aca="false">'Pro إعدادات'!A35&amp;" ("&amp;'Pro إعدادات'!B35&amp;")"</f>
        <v>الغداء (13:30)</v>
      </c>
      <c r="B212" s="5"/>
      <c r="C212" s="18"/>
      <c r="D212" s="19" t="str">
        <f aca="false">IF(OR($S212="",N($C212)=0),"",$C212/100*N(INDEX('Pro قاعدة الأغذية'!$F$5:$F$604,$S212)))</f>
        <v/>
      </c>
      <c r="E212" s="22" t="str">
        <f aca="false">IF(OR($S212="",N($C212)=0),"",$C212/100*N(INDEX('Pro قاعدة الأغذية'!$G$5:$G$604,$S212)))</f>
        <v/>
      </c>
      <c r="F212" s="22" t="str">
        <f aca="false">IF(OR($S212="",N($C212)=0),"",$C212/100*N(INDEX('Pro قاعدة الأغذية'!$H$5:$H$604,$S212)))</f>
        <v/>
      </c>
      <c r="G212" s="22" t="str">
        <f aca="false">IF(OR($S212="",N($C212)=0),"",$C212/100*N(INDEX('Pro قاعدة الأغذية'!$I$5:$I$604,$S212)))</f>
        <v/>
      </c>
      <c r="H212" s="22" t="str">
        <f aca="false">IF(OR($S212="",N($C212)=0),"",$C212/100*N(INDEX('Pro قاعدة الأغذية'!$J$5:$J$604,$S212)))</f>
        <v/>
      </c>
      <c r="I212" s="19" t="str">
        <f aca="false">IF(OR($S212="",N($C212)=0),"",$C212/100*N(INDEX('Pro قاعدة الأغذية'!$L$5:$L$604,$S212)))</f>
        <v/>
      </c>
      <c r="J212" s="30" t="str">
        <f aca="false">IF($S212="","",INDEX('Pro قاعدة الأغذية'!$E$5:$E$604,$S212))</f>
        <v/>
      </c>
      <c r="S212" s="31" t="str">
        <f aca="false">IF(B212="","",IFERROR(MATCH(B212,'Pro قاعدة الأغذية'!$C$5:$C$604,0),""))</f>
        <v/>
      </c>
    </row>
    <row r="213" customFormat="false" ht="15" hidden="false" customHeight="false" outlineLevel="0" collapsed="false">
      <c r="A213" s="24"/>
      <c r="B213" s="5"/>
      <c r="C213" s="18"/>
      <c r="D213" s="19" t="str">
        <f aca="false">IF(OR($S213="",N($C213)=0),"",$C213/100*N(INDEX('Pro قاعدة الأغذية'!$F$5:$F$604,$S213)))</f>
        <v/>
      </c>
      <c r="E213" s="22" t="str">
        <f aca="false">IF(OR($S213="",N($C213)=0),"",$C213/100*N(INDEX('Pro قاعدة الأغذية'!$G$5:$G$604,$S213)))</f>
        <v/>
      </c>
      <c r="F213" s="22" t="str">
        <f aca="false">IF(OR($S213="",N($C213)=0),"",$C213/100*N(INDEX('Pro قاعدة الأغذية'!$H$5:$H$604,$S213)))</f>
        <v/>
      </c>
      <c r="G213" s="22" t="str">
        <f aca="false">IF(OR($S213="",N($C213)=0),"",$C213/100*N(INDEX('Pro قاعدة الأغذية'!$I$5:$I$604,$S213)))</f>
        <v/>
      </c>
      <c r="H213" s="22" t="str">
        <f aca="false">IF(OR($S213="",N($C213)=0),"",$C213/100*N(INDEX('Pro قاعدة الأغذية'!$J$5:$J$604,$S213)))</f>
        <v/>
      </c>
      <c r="I213" s="19" t="str">
        <f aca="false">IF(OR($S213="",N($C213)=0),"",$C213/100*N(INDEX('Pro قاعدة الأغذية'!$L$5:$L$604,$S213)))</f>
        <v/>
      </c>
      <c r="J213" s="30" t="str">
        <f aca="false">IF($S213="","",INDEX('Pro قاعدة الأغذية'!$E$5:$E$604,$S213))</f>
        <v/>
      </c>
      <c r="S213" s="31" t="str">
        <f aca="false">IF(B213="","",IFERROR(MATCH(B213,'Pro قاعدة الأغذية'!$C$5:$C$604,0),""))</f>
        <v/>
      </c>
    </row>
    <row r="214" customFormat="false" ht="15" hidden="false" customHeight="false" outlineLevel="0" collapsed="false">
      <c r="A214" s="24"/>
      <c r="B214" s="5"/>
      <c r="C214" s="18"/>
      <c r="D214" s="19" t="str">
        <f aca="false">IF(OR($S214="",N($C214)=0),"",$C214/100*N(INDEX('Pro قاعدة الأغذية'!$F$5:$F$604,$S214)))</f>
        <v/>
      </c>
      <c r="E214" s="22" t="str">
        <f aca="false">IF(OR($S214="",N($C214)=0),"",$C214/100*N(INDEX('Pro قاعدة الأغذية'!$G$5:$G$604,$S214)))</f>
        <v/>
      </c>
      <c r="F214" s="22" t="str">
        <f aca="false">IF(OR($S214="",N($C214)=0),"",$C214/100*N(INDEX('Pro قاعدة الأغذية'!$H$5:$H$604,$S214)))</f>
        <v/>
      </c>
      <c r="G214" s="22" t="str">
        <f aca="false">IF(OR($S214="",N($C214)=0),"",$C214/100*N(INDEX('Pro قاعدة الأغذية'!$I$5:$I$604,$S214)))</f>
        <v/>
      </c>
      <c r="H214" s="22" t="str">
        <f aca="false">IF(OR($S214="",N($C214)=0),"",$C214/100*N(INDEX('Pro قاعدة الأغذية'!$J$5:$J$604,$S214)))</f>
        <v/>
      </c>
      <c r="I214" s="19" t="str">
        <f aca="false">IF(OR($S214="",N($C214)=0),"",$C214/100*N(INDEX('Pro قاعدة الأغذية'!$L$5:$L$604,$S214)))</f>
        <v/>
      </c>
      <c r="J214" s="30" t="str">
        <f aca="false">IF($S214="","",INDEX('Pro قاعدة الأغذية'!$E$5:$E$604,$S214))</f>
        <v/>
      </c>
      <c r="S214" s="31" t="str">
        <f aca="false">IF(B214="","",IFERROR(MATCH(B214,'Pro قاعدة الأغذية'!$C$5:$C$604,0),""))</f>
        <v/>
      </c>
    </row>
    <row r="215" customFormat="false" ht="15" hidden="false" customHeight="false" outlineLevel="0" collapsed="false">
      <c r="A215" s="24"/>
      <c r="B215" s="5"/>
      <c r="C215" s="18"/>
      <c r="D215" s="19" t="str">
        <f aca="false">IF(OR($S215="",N($C215)=0),"",$C215/100*N(INDEX('Pro قاعدة الأغذية'!$F$5:$F$604,$S215)))</f>
        <v/>
      </c>
      <c r="E215" s="22" t="str">
        <f aca="false">IF(OR($S215="",N($C215)=0),"",$C215/100*N(INDEX('Pro قاعدة الأغذية'!$G$5:$G$604,$S215)))</f>
        <v/>
      </c>
      <c r="F215" s="22" t="str">
        <f aca="false">IF(OR($S215="",N($C215)=0),"",$C215/100*N(INDEX('Pro قاعدة الأغذية'!$H$5:$H$604,$S215)))</f>
        <v/>
      </c>
      <c r="G215" s="22" t="str">
        <f aca="false">IF(OR($S215="",N($C215)=0),"",$C215/100*N(INDEX('Pro قاعدة الأغذية'!$I$5:$I$604,$S215)))</f>
        <v/>
      </c>
      <c r="H215" s="22" t="str">
        <f aca="false">IF(OR($S215="",N($C215)=0),"",$C215/100*N(INDEX('Pro قاعدة الأغذية'!$J$5:$J$604,$S215)))</f>
        <v/>
      </c>
      <c r="I215" s="19" t="str">
        <f aca="false">IF(OR($S215="",N($C215)=0),"",$C215/100*N(INDEX('Pro قاعدة الأغذية'!$L$5:$L$604,$S215)))</f>
        <v/>
      </c>
      <c r="J215" s="30" t="str">
        <f aca="false">IF($S215="","",INDEX('Pro قاعدة الأغذية'!$E$5:$E$604,$S215))</f>
        <v/>
      </c>
      <c r="S215" s="31" t="str">
        <f aca="false">IF(B215="","",IFERROR(MATCH(B215,'Pro قاعدة الأغذية'!$C$5:$C$604,0),""))</f>
        <v/>
      </c>
    </row>
    <row r="216" customFormat="false" ht="15" hidden="false" customHeight="false" outlineLevel="0" collapsed="false">
      <c r="A216" s="24"/>
      <c r="B216" s="5"/>
      <c r="C216" s="18"/>
      <c r="D216" s="19" t="str">
        <f aca="false">IF(OR($S216="",N($C216)=0),"",$C216/100*N(INDEX('Pro قاعدة الأغذية'!$F$5:$F$604,$S216)))</f>
        <v/>
      </c>
      <c r="E216" s="22" t="str">
        <f aca="false">IF(OR($S216="",N($C216)=0),"",$C216/100*N(INDEX('Pro قاعدة الأغذية'!$G$5:$G$604,$S216)))</f>
        <v/>
      </c>
      <c r="F216" s="22" t="str">
        <f aca="false">IF(OR($S216="",N($C216)=0),"",$C216/100*N(INDEX('Pro قاعدة الأغذية'!$H$5:$H$604,$S216)))</f>
        <v/>
      </c>
      <c r="G216" s="22" t="str">
        <f aca="false">IF(OR($S216="",N($C216)=0),"",$C216/100*N(INDEX('Pro قاعدة الأغذية'!$I$5:$I$604,$S216)))</f>
        <v/>
      </c>
      <c r="H216" s="22" t="str">
        <f aca="false">IF(OR($S216="",N($C216)=0),"",$C216/100*N(INDEX('Pro قاعدة الأغذية'!$J$5:$J$604,$S216)))</f>
        <v/>
      </c>
      <c r="I216" s="19" t="str">
        <f aca="false">IF(OR($S216="",N($C216)=0),"",$C216/100*N(INDEX('Pro قاعدة الأغذية'!$L$5:$L$604,$S216)))</f>
        <v/>
      </c>
      <c r="J216" s="30" t="str">
        <f aca="false">IF($S216="","",INDEX('Pro قاعدة الأغذية'!$E$5:$E$604,$S216))</f>
        <v/>
      </c>
      <c r="S216" s="31" t="str">
        <f aca="false">IF(B216="","",IFERROR(MATCH(B216,'Pro قاعدة الأغذية'!$C$5:$C$604,0),""))</f>
        <v/>
      </c>
    </row>
    <row r="217" customFormat="false" ht="15" hidden="false" customHeight="false" outlineLevel="0" collapsed="false">
      <c r="A217" s="24"/>
      <c r="B217" s="5"/>
      <c r="C217" s="18"/>
      <c r="D217" s="19" t="str">
        <f aca="false">IF(OR($S217="",N($C217)=0),"",$C217/100*N(INDEX('Pro قاعدة الأغذية'!$F$5:$F$604,$S217)))</f>
        <v/>
      </c>
      <c r="E217" s="22" t="str">
        <f aca="false">IF(OR($S217="",N($C217)=0),"",$C217/100*N(INDEX('Pro قاعدة الأغذية'!$G$5:$G$604,$S217)))</f>
        <v/>
      </c>
      <c r="F217" s="22" t="str">
        <f aca="false">IF(OR($S217="",N($C217)=0),"",$C217/100*N(INDEX('Pro قاعدة الأغذية'!$H$5:$H$604,$S217)))</f>
        <v/>
      </c>
      <c r="G217" s="22" t="str">
        <f aca="false">IF(OR($S217="",N($C217)=0),"",$C217/100*N(INDEX('Pro قاعدة الأغذية'!$I$5:$I$604,$S217)))</f>
        <v/>
      </c>
      <c r="H217" s="22" t="str">
        <f aca="false">IF(OR($S217="",N($C217)=0),"",$C217/100*N(INDEX('Pro قاعدة الأغذية'!$J$5:$J$604,$S217)))</f>
        <v/>
      </c>
      <c r="I217" s="19" t="str">
        <f aca="false">IF(OR($S217="",N($C217)=0),"",$C217/100*N(INDEX('Pro قاعدة الأغذية'!$L$5:$L$604,$S217)))</f>
        <v/>
      </c>
      <c r="J217" s="30" t="str">
        <f aca="false">IF($S217="","",INDEX('Pro قاعدة الأغذية'!$E$5:$E$604,$S217))</f>
        <v/>
      </c>
      <c r="S217" s="31" t="str">
        <f aca="false">IF(B217="","",IFERROR(MATCH(B217,'Pro قاعدة الأغذية'!$C$5:$C$604,0),""))</f>
        <v/>
      </c>
    </row>
    <row r="218" customFormat="false" ht="15" hidden="false" customHeight="false" outlineLevel="0" collapsed="false">
      <c r="A218" s="24"/>
      <c r="B218" s="32" t="s">
        <v>91</v>
      </c>
      <c r="C218" s="33" t="n">
        <f aca="false">SUM(C212:C217)</f>
        <v>0</v>
      </c>
      <c r="D218" s="33" t="n">
        <f aca="false">SUM(D212:D217)</f>
        <v>0</v>
      </c>
      <c r="E218" s="33" t="n">
        <f aca="false">SUM(E212:E217)</f>
        <v>0</v>
      </c>
      <c r="F218" s="33" t="n">
        <f aca="false">SUM(F212:F217)</f>
        <v>0</v>
      </c>
      <c r="G218" s="33" t="n">
        <f aca="false">SUM(G212:G217)</f>
        <v>0</v>
      </c>
      <c r="H218" s="34" t="n">
        <f aca="false">SUM(H212:H217)</f>
        <v>0</v>
      </c>
      <c r="I218" s="33" t="n">
        <f aca="false">SUM(I212:I217)</f>
        <v>0</v>
      </c>
      <c r="K218" s="35" t="n">
        <f aca="false">IF(AND(('Pro إعدادات'!$C$35="نعم"),IF($T$196=1,'Pro إعدادات'!$G$39,'Pro إعدادات'!$D$39)&gt;0),'Pro ملف الرياضي'!$H$27*IF($T$196=1,'Pro إعدادات'!$G$35,'Pro إعدادات'!$D$35)/IF($T$196=1,'Pro إعدادات'!$G$39,'Pro إعدادات'!$D$39),0)</f>
        <v>36</v>
      </c>
      <c r="L218" s="35" t="n">
        <f aca="false">IF(AND(('Pro إعدادات'!$C$35="نعم"),IF($T$196=1,'Pro إعدادات'!$H$39,'Pro إعدادات'!$E$39)&gt;0),'Pro ملف الرياضي'!$I$27*IF($T$196=1,'Pro إعدادات'!$H$35,'Pro إعدادات'!$E$35)/IF($T$196=1,'Pro إعدادات'!$H$39,'Pro إعدادات'!$E$39),0)</f>
        <v>100</v>
      </c>
      <c r="M218" s="35" t="n">
        <f aca="false">IF(AND(('Pro إعدادات'!$C$35="نعم"),IF($T$196=1,'Pro إعدادات'!$I$39,'Pro إعدادات'!$F$39)&gt;0),'Pro ملف الرياضي'!$J$27*IF($T$196=1,'Pro إعدادات'!$I$35,'Pro إعدادات'!$F$35)/IF($T$196=1,'Pro إعدادات'!$I$39,'Pro إعدادات'!$F$39),0)</f>
        <v>21.6</v>
      </c>
      <c r="N218" s="35" t="n">
        <f aca="false">4*K218+4*L218+9*M218</f>
        <v>738.4</v>
      </c>
      <c r="O218" s="21" t="n">
        <f aca="false">E218-K218</f>
        <v>-36</v>
      </c>
      <c r="P218" s="21" t="n">
        <f aca="false">F218-L218</f>
        <v>-100</v>
      </c>
      <c r="Q218" s="21" t="n">
        <f aca="false">G218-M218</f>
        <v>-21.6</v>
      </c>
    </row>
    <row r="219" customFormat="false" ht="15" hidden="false" customHeight="false" outlineLevel="0" collapsed="false">
      <c r="A219" s="14" t="str">
        <f aca="false">'Pro إعدادات'!A36&amp;" ("&amp;'Pro إعدادات'!B36&amp;")"</f>
        <v>سناك 2 / بعد التدريب (16:30)</v>
      </c>
      <c r="B219" s="5"/>
      <c r="C219" s="18"/>
      <c r="D219" s="19" t="str">
        <f aca="false">IF(OR($S219="",N($C219)=0),"",$C219/100*N(INDEX('Pro قاعدة الأغذية'!$F$5:$F$604,$S219)))</f>
        <v/>
      </c>
      <c r="E219" s="22" t="str">
        <f aca="false">IF(OR($S219="",N($C219)=0),"",$C219/100*N(INDEX('Pro قاعدة الأغذية'!$G$5:$G$604,$S219)))</f>
        <v/>
      </c>
      <c r="F219" s="22" t="str">
        <f aca="false">IF(OR($S219="",N($C219)=0),"",$C219/100*N(INDEX('Pro قاعدة الأغذية'!$H$5:$H$604,$S219)))</f>
        <v/>
      </c>
      <c r="G219" s="22" t="str">
        <f aca="false">IF(OR($S219="",N($C219)=0),"",$C219/100*N(INDEX('Pro قاعدة الأغذية'!$I$5:$I$604,$S219)))</f>
        <v/>
      </c>
      <c r="H219" s="22" t="str">
        <f aca="false">IF(OR($S219="",N($C219)=0),"",$C219/100*N(INDEX('Pro قاعدة الأغذية'!$J$5:$J$604,$S219)))</f>
        <v/>
      </c>
      <c r="I219" s="19" t="str">
        <f aca="false">IF(OR($S219="",N($C219)=0),"",$C219/100*N(INDEX('Pro قاعدة الأغذية'!$L$5:$L$604,$S219)))</f>
        <v/>
      </c>
      <c r="J219" s="30" t="str">
        <f aca="false">IF($S219="","",INDEX('Pro قاعدة الأغذية'!$E$5:$E$604,$S219))</f>
        <v/>
      </c>
      <c r="S219" s="31" t="str">
        <f aca="false">IF(B219="","",IFERROR(MATCH(B219,'Pro قاعدة الأغذية'!$C$5:$C$604,0),""))</f>
        <v/>
      </c>
    </row>
    <row r="220" customFormat="false" ht="15" hidden="false" customHeight="false" outlineLevel="0" collapsed="false">
      <c r="A220" s="24"/>
      <c r="B220" s="5"/>
      <c r="C220" s="18"/>
      <c r="D220" s="19" t="str">
        <f aca="false">IF(OR($S220="",N($C220)=0),"",$C220/100*N(INDEX('Pro قاعدة الأغذية'!$F$5:$F$604,$S220)))</f>
        <v/>
      </c>
      <c r="E220" s="22" t="str">
        <f aca="false">IF(OR($S220="",N($C220)=0),"",$C220/100*N(INDEX('Pro قاعدة الأغذية'!$G$5:$G$604,$S220)))</f>
        <v/>
      </c>
      <c r="F220" s="22" t="str">
        <f aca="false">IF(OR($S220="",N($C220)=0),"",$C220/100*N(INDEX('Pro قاعدة الأغذية'!$H$5:$H$604,$S220)))</f>
        <v/>
      </c>
      <c r="G220" s="22" t="str">
        <f aca="false">IF(OR($S220="",N($C220)=0),"",$C220/100*N(INDEX('Pro قاعدة الأغذية'!$I$5:$I$604,$S220)))</f>
        <v/>
      </c>
      <c r="H220" s="22" t="str">
        <f aca="false">IF(OR($S220="",N($C220)=0),"",$C220/100*N(INDEX('Pro قاعدة الأغذية'!$J$5:$J$604,$S220)))</f>
        <v/>
      </c>
      <c r="I220" s="19" t="str">
        <f aca="false">IF(OR($S220="",N($C220)=0),"",$C220/100*N(INDEX('Pro قاعدة الأغذية'!$L$5:$L$604,$S220)))</f>
        <v/>
      </c>
      <c r="J220" s="30" t="str">
        <f aca="false">IF($S220="","",INDEX('Pro قاعدة الأغذية'!$E$5:$E$604,$S220))</f>
        <v/>
      </c>
      <c r="S220" s="31" t="str">
        <f aca="false">IF(B220="","",IFERROR(MATCH(B220,'Pro قاعدة الأغذية'!$C$5:$C$604,0),""))</f>
        <v/>
      </c>
    </row>
    <row r="221" customFormat="false" ht="15" hidden="false" customHeight="false" outlineLevel="0" collapsed="false">
      <c r="A221" s="24"/>
      <c r="B221" s="5"/>
      <c r="C221" s="18"/>
      <c r="D221" s="19" t="str">
        <f aca="false">IF(OR($S221="",N($C221)=0),"",$C221/100*N(INDEX('Pro قاعدة الأغذية'!$F$5:$F$604,$S221)))</f>
        <v/>
      </c>
      <c r="E221" s="22" t="str">
        <f aca="false">IF(OR($S221="",N($C221)=0),"",$C221/100*N(INDEX('Pro قاعدة الأغذية'!$G$5:$G$604,$S221)))</f>
        <v/>
      </c>
      <c r="F221" s="22" t="str">
        <f aca="false">IF(OR($S221="",N($C221)=0),"",$C221/100*N(INDEX('Pro قاعدة الأغذية'!$H$5:$H$604,$S221)))</f>
        <v/>
      </c>
      <c r="G221" s="22" t="str">
        <f aca="false">IF(OR($S221="",N($C221)=0),"",$C221/100*N(INDEX('Pro قاعدة الأغذية'!$I$5:$I$604,$S221)))</f>
        <v/>
      </c>
      <c r="H221" s="22" t="str">
        <f aca="false">IF(OR($S221="",N($C221)=0),"",$C221/100*N(INDEX('Pro قاعدة الأغذية'!$J$5:$J$604,$S221)))</f>
        <v/>
      </c>
      <c r="I221" s="19" t="str">
        <f aca="false">IF(OR($S221="",N($C221)=0),"",$C221/100*N(INDEX('Pro قاعدة الأغذية'!$L$5:$L$604,$S221)))</f>
        <v/>
      </c>
      <c r="J221" s="30" t="str">
        <f aca="false">IF($S221="","",INDEX('Pro قاعدة الأغذية'!$E$5:$E$604,$S221))</f>
        <v/>
      </c>
      <c r="S221" s="31" t="str">
        <f aca="false">IF(B221="","",IFERROR(MATCH(B221,'Pro قاعدة الأغذية'!$C$5:$C$604,0),""))</f>
        <v/>
      </c>
    </row>
    <row r="222" customFormat="false" ht="15" hidden="false" customHeight="false" outlineLevel="0" collapsed="false">
      <c r="A222" s="24"/>
      <c r="B222" s="5"/>
      <c r="C222" s="18"/>
      <c r="D222" s="19" t="str">
        <f aca="false">IF(OR($S222="",N($C222)=0),"",$C222/100*N(INDEX('Pro قاعدة الأغذية'!$F$5:$F$604,$S222)))</f>
        <v/>
      </c>
      <c r="E222" s="22" t="str">
        <f aca="false">IF(OR($S222="",N($C222)=0),"",$C222/100*N(INDEX('Pro قاعدة الأغذية'!$G$5:$G$604,$S222)))</f>
        <v/>
      </c>
      <c r="F222" s="22" t="str">
        <f aca="false">IF(OR($S222="",N($C222)=0),"",$C222/100*N(INDEX('Pro قاعدة الأغذية'!$H$5:$H$604,$S222)))</f>
        <v/>
      </c>
      <c r="G222" s="22" t="str">
        <f aca="false">IF(OR($S222="",N($C222)=0),"",$C222/100*N(INDEX('Pro قاعدة الأغذية'!$I$5:$I$604,$S222)))</f>
        <v/>
      </c>
      <c r="H222" s="22" t="str">
        <f aca="false">IF(OR($S222="",N($C222)=0),"",$C222/100*N(INDEX('Pro قاعدة الأغذية'!$J$5:$J$604,$S222)))</f>
        <v/>
      </c>
      <c r="I222" s="19" t="str">
        <f aca="false">IF(OR($S222="",N($C222)=0),"",$C222/100*N(INDEX('Pro قاعدة الأغذية'!$L$5:$L$604,$S222)))</f>
        <v/>
      </c>
      <c r="J222" s="30" t="str">
        <f aca="false">IF($S222="","",INDEX('Pro قاعدة الأغذية'!$E$5:$E$604,$S222))</f>
        <v/>
      </c>
      <c r="S222" s="31" t="str">
        <f aca="false">IF(B222="","",IFERROR(MATCH(B222,'Pro قاعدة الأغذية'!$C$5:$C$604,0),""))</f>
        <v/>
      </c>
    </row>
    <row r="223" customFormat="false" ht="15" hidden="false" customHeight="false" outlineLevel="0" collapsed="false">
      <c r="A223" s="24"/>
      <c r="B223" s="5"/>
      <c r="C223" s="18"/>
      <c r="D223" s="19" t="str">
        <f aca="false">IF(OR($S223="",N($C223)=0),"",$C223/100*N(INDEX('Pro قاعدة الأغذية'!$F$5:$F$604,$S223)))</f>
        <v/>
      </c>
      <c r="E223" s="22" t="str">
        <f aca="false">IF(OR($S223="",N($C223)=0),"",$C223/100*N(INDEX('Pro قاعدة الأغذية'!$G$5:$G$604,$S223)))</f>
        <v/>
      </c>
      <c r="F223" s="22" t="str">
        <f aca="false">IF(OR($S223="",N($C223)=0),"",$C223/100*N(INDEX('Pro قاعدة الأغذية'!$H$5:$H$604,$S223)))</f>
        <v/>
      </c>
      <c r="G223" s="22" t="str">
        <f aca="false">IF(OR($S223="",N($C223)=0),"",$C223/100*N(INDEX('Pro قاعدة الأغذية'!$I$5:$I$604,$S223)))</f>
        <v/>
      </c>
      <c r="H223" s="22" t="str">
        <f aca="false">IF(OR($S223="",N($C223)=0),"",$C223/100*N(INDEX('Pro قاعدة الأغذية'!$J$5:$J$604,$S223)))</f>
        <v/>
      </c>
      <c r="I223" s="19" t="str">
        <f aca="false">IF(OR($S223="",N($C223)=0),"",$C223/100*N(INDEX('Pro قاعدة الأغذية'!$L$5:$L$604,$S223)))</f>
        <v/>
      </c>
      <c r="J223" s="30" t="str">
        <f aca="false">IF($S223="","",INDEX('Pro قاعدة الأغذية'!$E$5:$E$604,$S223))</f>
        <v/>
      </c>
      <c r="S223" s="31" t="str">
        <f aca="false">IF(B223="","",IFERROR(MATCH(B223,'Pro قاعدة الأغذية'!$C$5:$C$604,0),""))</f>
        <v/>
      </c>
    </row>
    <row r="224" customFormat="false" ht="15" hidden="false" customHeight="false" outlineLevel="0" collapsed="false">
      <c r="A224" s="24"/>
      <c r="B224" s="5"/>
      <c r="C224" s="18"/>
      <c r="D224" s="19" t="str">
        <f aca="false">IF(OR($S224="",N($C224)=0),"",$C224/100*N(INDEX('Pro قاعدة الأغذية'!$F$5:$F$604,$S224)))</f>
        <v/>
      </c>
      <c r="E224" s="22" t="str">
        <f aca="false">IF(OR($S224="",N($C224)=0),"",$C224/100*N(INDEX('Pro قاعدة الأغذية'!$G$5:$G$604,$S224)))</f>
        <v/>
      </c>
      <c r="F224" s="22" t="str">
        <f aca="false">IF(OR($S224="",N($C224)=0),"",$C224/100*N(INDEX('Pro قاعدة الأغذية'!$H$5:$H$604,$S224)))</f>
        <v/>
      </c>
      <c r="G224" s="22" t="str">
        <f aca="false">IF(OR($S224="",N($C224)=0),"",$C224/100*N(INDEX('Pro قاعدة الأغذية'!$I$5:$I$604,$S224)))</f>
        <v/>
      </c>
      <c r="H224" s="22" t="str">
        <f aca="false">IF(OR($S224="",N($C224)=0),"",$C224/100*N(INDEX('Pro قاعدة الأغذية'!$J$5:$J$604,$S224)))</f>
        <v/>
      </c>
      <c r="I224" s="19" t="str">
        <f aca="false">IF(OR($S224="",N($C224)=0),"",$C224/100*N(INDEX('Pro قاعدة الأغذية'!$L$5:$L$604,$S224)))</f>
        <v/>
      </c>
      <c r="J224" s="30" t="str">
        <f aca="false">IF($S224="","",INDEX('Pro قاعدة الأغذية'!$E$5:$E$604,$S224))</f>
        <v/>
      </c>
      <c r="S224" s="31" t="str">
        <f aca="false">IF(B224="","",IFERROR(MATCH(B224,'Pro قاعدة الأغذية'!$C$5:$C$604,0),""))</f>
        <v/>
      </c>
    </row>
    <row r="225" customFormat="false" ht="15" hidden="false" customHeight="false" outlineLevel="0" collapsed="false">
      <c r="A225" s="24"/>
      <c r="B225" s="32" t="s">
        <v>91</v>
      </c>
      <c r="C225" s="33" t="n">
        <f aca="false">SUM(C219:C224)</f>
        <v>0</v>
      </c>
      <c r="D225" s="33" t="n">
        <f aca="false">SUM(D219:D224)</f>
        <v>0</v>
      </c>
      <c r="E225" s="33" t="n">
        <f aca="false">SUM(E219:E224)</f>
        <v>0</v>
      </c>
      <c r="F225" s="33" t="n">
        <f aca="false">SUM(F219:F224)</f>
        <v>0</v>
      </c>
      <c r="G225" s="33" t="n">
        <f aca="false">SUM(G219:G224)</f>
        <v>0</v>
      </c>
      <c r="H225" s="34" t="n">
        <f aca="false">SUM(H219:H224)</f>
        <v>0</v>
      </c>
      <c r="I225" s="33" t="n">
        <f aca="false">SUM(I219:I224)</f>
        <v>0</v>
      </c>
      <c r="K225" s="35" t="n">
        <f aca="false">IF(AND(('Pro إعدادات'!$C$36="نعم"),IF($T$196=1,'Pro إعدادات'!$G$39,'Pro إعدادات'!$D$39)&gt;0),'Pro ملف الرياضي'!$H$27*IF($T$196=1,'Pro إعدادات'!$G$36,'Pro إعدادات'!$D$36)/IF($T$196=1,'Pro إعدادات'!$G$39,'Pro إعدادات'!$D$39),0)</f>
        <v>28.8</v>
      </c>
      <c r="L225" s="35" t="n">
        <f aca="false">IF(AND(('Pro إعدادات'!$C$36="نعم"),IF($T$196=1,'Pro إعدادات'!$H$39,'Pro إعدادات'!$E$39)&gt;0),'Pro ملف الرياضي'!$I$27*IF($T$196=1,'Pro إعدادات'!$H$36,'Pro إعدادات'!$E$36)/IF($T$196=1,'Pro إعدادات'!$H$39,'Pro إعدادات'!$E$39),0)</f>
        <v>100</v>
      </c>
      <c r="M225" s="35" t="n">
        <f aca="false">IF(AND(('Pro إعدادات'!$C$36="نعم"),IF($T$196=1,'Pro إعدادات'!$I$39,'Pro إعدادات'!$F$39)&gt;0),'Pro ملف الرياضي'!$J$27*IF($T$196=1,'Pro إعدادات'!$I$36,'Pro إعدادات'!$F$36)/IF($T$196=1,'Pro إعدادات'!$I$39,'Pro إعدادات'!$F$39),0)</f>
        <v>7.2</v>
      </c>
      <c r="N225" s="35" t="n">
        <f aca="false">4*K225+4*L225+9*M225</f>
        <v>580</v>
      </c>
      <c r="O225" s="21" t="n">
        <f aca="false">E225-K225</f>
        <v>-28.8</v>
      </c>
      <c r="P225" s="21" t="n">
        <f aca="false">F225-L225</f>
        <v>-100</v>
      </c>
      <c r="Q225" s="21" t="n">
        <f aca="false">G225-M225</f>
        <v>-7.2</v>
      </c>
    </row>
    <row r="226" customFormat="false" ht="15" hidden="false" customHeight="false" outlineLevel="0" collapsed="false">
      <c r="A226" s="14" t="str">
        <f aca="false">'Pro إعدادات'!A37&amp;" ("&amp;'Pro إعدادات'!B37&amp;")"</f>
        <v>العشاء (20:00)</v>
      </c>
      <c r="B226" s="5"/>
      <c r="C226" s="18"/>
      <c r="D226" s="19" t="str">
        <f aca="false">IF(OR($S226="",N($C226)=0),"",$C226/100*N(INDEX('Pro قاعدة الأغذية'!$F$5:$F$604,$S226)))</f>
        <v/>
      </c>
      <c r="E226" s="22" t="str">
        <f aca="false">IF(OR($S226="",N($C226)=0),"",$C226/100*N(INDEX('Pro قاعدة الأغذية'!$G$5:$G$604,$S226)))</f>
        <v/>
      </c>
      <c r="F226" s="22" t="str">
        <f aca="false">IF(OR($S226="",N($C226)=0),"",$C226/100*N(INDEX('Pro قاعدة الأغذية'!$H$5:$H$604,$S226)))</f>
        <v/>
      </c>
      <c r="G226" s="22" t="str">
        <f aca="false">IF(OR($S226="",N($C226)=0),"",$C226/100*N(INDEX('Pro قاعدة الأغذية'!$I$5:$I$604,$S226)))</f>
        <v/>
      </c>
      <c r="H226" s="22" t="str">
        <f aca="false">IF(OR($S226="",N($C226)=0),"",$C226/100*N(INDEX('Pro قاعدة الأغذية'!$J$5:$J$604,$S226)))</f>
        <v/>
      </c>
      <c r="I226" s="19" t="str">
        <f aca="false">IF(OR($S226="",N($C226)=0),"",$C226/100*N(INDEX('Pro قاعدة الأغذية'!$L$5:$L$604,$S226)))</f>
        <v/>
      </c>
      <c r="J226" s="30" t="str">
        <f aca="false">IF($S226="","",INDEX('Pro قاعدة الأغذية'!$E$5:$E$604,$S226))</f>
        <v/>
      </c>
      <c r="S226" s="31" t="str">
        <f aca="false">IF(B226="","",IFERROR(MATCH(B226,'Pro قاعدة الأغذية'!$C$5:$C$604,0),""))</f>
        <v/>
      </c>
    </row>
    <row r="227" customFormat="false" ht="15" hidden="false" customHeight="false" outlineLevel="0" collapsed="false">
      <c r="A227" s="24"/>
      <c r="B227" s="5"/>
      <c r="C227" s="18"/>
      <c r="D227" s="19" t="str">
        <f aca="false">IF(OR($S227="",N($C227)=0),"",$C227/100*N(INDEX('Pro قاعدة الأغذية'!$F$5:$F$604,$S227)))</f>
        <v/>
      </c>
      <c r="E227" s="22" t="str">
        <f aca="false">IF(OR($S227="",N($C227)=0),"",$C227/100*N(INDEX('Pro قاعدة الأغذية'!$G$5:$G$604,$S227)))</f>
        <v/>
      </c>
      <c r="F227" s="22" t="str">
        <f aca="false">IF(OR($S227="",N($C227)=0),"",$C227/100*N(INDEX('Pro قاعدة الأغذية'!$H$5:$H$604,$S227)))</f>
        <v/>
      </c>
      <c r="G227" s="22" t="str">
        <f aca="false">IF(OR($S227="",N($C227)=0),"",$C227/100*N(INDEX('Pro قاعدة الأغذية'!$I$5:$I$604,$S227)))</f>
        <v/>
      </c>
      <c r="H227" s="22" t="str">
        <f aca="false">IF(OR($S227="",N($C227)=0),"",$C227/100*N(INDEX('Pro قاعدة الأغذية'!$J$5:$J$604,$S227)))</f>
        <v/>
      </c>
      <c r="I227" s="19" t="str">
        <f aca="false">IF(OR($S227="",N($C227)=0),"",$C227/100*N(INDEX('Pro قاعدة الأغذية'!$L$5:$L$604,$S227)))</f>
        <v/>
      </c>
      <c r="J227" s="30" t="str">
        <f aca="false">IF($S227="","",INDEX('Pro قاعدة الأغذية'!$E$5:$E$604,$S227))</f>
        <v/>
      </c>
      <c r="S227" s="31" t="str">
        <f aca="false">IF(B227="","",IFERROR(MATCH(B227,'Pro قاعدة الأغذية'!$C$5:$C$604,0),""))</f>
        <v/>
      </c>
    </row>
    <row r="228" customFormat="false" ht="15" hidden="false" customHeight="false" outlineLevel="0" collapsed="false">
      <c r="A228" s="24"/>
      <c r="B228" s="5"/>
      <c r="C228" s="18"/>
      <c r="D228" s="19" t="str">
        <f aca="false">IF(OR($S228="",N($C228)=0),"",$C228/100*N(INDEX('Pro قاعدة الأغذية'!$F$5:$F$604,$S228)))</f>
        <v/>
      </c>
      <c r="E228" s="22" t="str">
        <f aca="false">IF(OR($S228="",N($C228)=0),"",$C228/100*N(INDEX('Pro قاعدة الأغذية'!$G$5:$G$604,$S228)))</f>
        <v/>
      </c>
      <c r="F228" s="22" t="str">
        <f aca="false">IF(OR($S228="",N($C228)=0),"",$C228/100*N(INDEX('Pro قاعدة الأغذية'!$H$5:$H$604,$S228)))</f>
        <v/>
      </c>
      <c r="G228" s="22" t="str">
        <f aca="false">IF(OR($S228="",N($C228)=0),"",$C228/100*N(INDEX('Pro قاعدة الأغذية'!$I$5:$I$604,$S228)))</f>
        <v/>
      </c>
      <c r="H228" s="22" t="str">
        <f aca="false">IF(OR($S228="",N($C228)=0),"",$C228/100*N(INDEX('Pro قاعدة الأغذية'!$J$5:$J$604,$S228)))</f>
        <v/>
      </c>
      <c r="I228" s="19" t="str">
        <f aca="false">IF(OR($S228="",N($C228)=0),"",$C228/100*N(INDEX('Pro قاعدة الأغذية'!$L$5:$L$604,$S228)))</f>
        <v/>
      </c>
      <c r="J228" s="30" t="str">
        <f aca="false">IF($S228="","",INDEX('Pro قاعدة الأغذية'!$E$5:$E$604,$S228))</f>
        <v/>
      </c>
      <c r="S228" s="31" t="str">
        <f aca="false">IF(B228="","",IFERROR(MATCH(B228,'Pro قاعدة الأغذية'!$C$5:$C$604,0),""))</f>
        <v/>
      </c>
    </row>
    <row r="229" customFormat="false" ht="15" hidden="false" customHeight="false" outlineLevel="0" collapsed="false">
      <c r="A229" s="24"/>
      <c r="B229" s="5"/>
      <c r="C229" s="18"/>
      <c r="D229" s="19" t="str">
        <f aca="false">IF(OR($S229="",N($C229)=0),"",$C229/100*N(INDEX('Pro قاعدة الأغذية'!$F$5:$F$604,$S229)))</f>
        <v/>
      </c>
      <c r="E229" s="22" t="str">
        <f aca="false">IF(OR($S229="",N($C229)=0),"",$C229/100*N(INDEX('Pro قاعدة الأغذية'!$G$5:$G$604,$S229)))</f>
        <v/>
      </c>
      <c r="F229" s="22" t="str">
        <f aca="false">IF(OR($S229="",N($C229)=0),"",$C229/100*N(INDEX('Pro قاعدة الأغذية'!$H$5:$H$604,$S229)))</f>
        <v/>
      </c>
      <c r="G229" s="22" t="str">
        <f aca="false">IF(OR($S229="",N($C229)=0),"",$C229/100*N(INDEX('Pro قاعدة الأغذية'!$I$5:$I$604,$S229)))</f>
        <v/>
      </c>
      <c r="H229" s="22" t="str">
        <f aca="false">IF(OR($S229="",N($C229)=0),"",$C229/100*N(INDEX('Pro قاعدة الأغذية'!$J$5:$J$604,$S229)))</f>
        <v/>
      </c>
      <c r="I229" s="19" t="str">
        <f aca="false">IF(OR($S229="",N($C229)=0),"",$C229/100*N(INDEX('Pro قاعدة الأغذية'!$L$5:$L$604,$S229)))</f>
        <v/>
      </c>
      <c r="J229" s="30" t="str">
        <f aca="false">IF($S229="","",INDEX('Pro قاعدة الأغذية'!$E$5:$E$604,$S229))</f>
        <v/>
      </c>
      <c r="S229" s="31" t="str">
        <f aca="false">IF(B229="","",IFERROR(MATCH(B229,'Pro قاعدة الأغذية'!$C$5:$C$604,0),""))</f>
        <v/>
      </c>
    </row>
    <row r="230" customFormat="false" ht="15" hidden="false" customHeight="false" outlineLevel="0" collapsed="false">
      <c r="A230" s="24"/>
      <c r="B230" s="5"/>
      <c r="C230" s="18"/>
      <c r="D230" s="19" t="str">
        <f aca="false">IF(OR($S230="",N($C230)=0),"",$C230/100*N(INDEX('Pro قاعدة الأغذية'!$F$5:$F$604,$S230)))</f>
        <v/>
      </c>
      <c r="E230" s="22" t="str">
        <f aca="false">IF(OR($S230="",N($C230)=0),"",$C230/100*N(INDEX('Pro قاعدة الأغذية'!$G$5:$G$604,$S230)))</f>
        <v/>
      </c>
      <c r="F230" s="22" t="str">
        <f aca="false">IF(OR($S230="",N($C230)=0),"",$C230/100*N(INDEX('Pro قاعدة الأغذية'!$H$5:$H$604,$S230)))</f>
        <v/>
      </c>
      <c r="G230" s="22" t="str">
        <f aca="false">IF(OR($S230="",N($C230)=0),"",$C230/100*N(INDEX('Pro قاعدة الأغذية'!$I$5:$I$604,$S230)))</f>
        <v/>
      </c>
      <c r="H230" s="22" t="str">
        <f aca="false">IF(OR($S230="",N($C230)=0),"",$C230/100*N(INDEX('Pro قاعدة الأغذية'!$J$5:$J$604,$S230)))</f>
        <v/>
      </c>
      <c r="I230" s="19" t="str">
        <f aca="false">IF(OR($S230="",N($C230)=0),"",$C230/100*N(INDEX('Pro قاعدة الأغذية'!$L$5:$L$604,$S230)))</f>
        <v/>
      </c>
      <c r="J230" s="30" t="str">
        <f aca="false">IF($S230="","",INDEX('Pro قاعدة الأغذية'!$E$5:$E$604,$S230))</f>
        <v/>
      </c>
      <c r="S230" s="31" t="str">
        <f aca="false">IF(B230="","",IFERROR(MATCH(B230,'Pro قاعدة الأغذية'!$C$5:$C$604,0),""))</f>
        <v/>
      </c>
    </row>
    <row r="231" customFormat="false" ht="15" hidden="false" customHeight="false" outlineLevel="0" collapsed="false">
      <c r="A231" s="24"/>
      <c r="B231" s="5"/>
      <c r="C231" s="18"/>
      <c r="D231" s="19" t="str">
        <f aca="false">IF(OR($S231="",N($C231)=0),"",$C231/100*N(INDEX('Pro قاعدة الأغذية'!$F$5:$F$604,$S231)))</f>
        <v/>
      </c>
      <c r="E231" s="22" t="str">
        <f aca="false">IF(OR($S231="",N($C231)=0),"",$C231/100*N(INDEX('Pro قاعدة الأغذية'!$G$5:$G$604,$S231)))</f>
        <v/>
      </c>
      <c r="F231" s="22" t="str">
        <f aca="false">IF(OR($S231="",N($C231)=0),"",$C231/100*N(INDEX('Pro قاعدة الأغذية'!$H$5:$H$604,$S231)))</f>
        <v/>
      </c>
      <c r="G231" s="22" t="str">
        <f aca="false">IF(OR($S231="",N($C231)=0),"",$C231/100*N(INDEX('Pro قاعدة الأغذية'!$I$5:$I$604,$S231)))</f>
        <v/>
      </c>
      <c r="H231" s="22" t="str">
        <f aca="false">IF(OR($S231="",N($C231)=0),"",$C231/100*N(INDEX('Pro قاعدة الأغذية'!$J$5:$J$604,$S231)))</f>
        <v/>
      </c>
      <c r="I231" s="19" t="str">
        <f aca="false">IF(OR($S231="",N($C231)=0),"",$C231/100*N(INDEX('Pro قاعدة الأغذية'!$L$5:$L$604,$S231)))</f>
        <v/>
      </c>
      <c r="J231" s="30" t="str">
        <f aca="false">IF($S231="","",INDEX('Pro قاعدة الأغذية'!$E$5:$E$604,$S231))</f>
        <v/>
      </c>
      <c r="S231" s="31" t="str">
        <f aca="false">IF(B231="","",IFERROR(MATCH(B231,'Pro قاعدة الأغذية'!$C$5:$C$604,0),""))</f>
        <v/>
      </c>
    </row>
    <row r="232" customFormat="false" ht="15" hidden="false" customHeight="false" outlineLevel="0" collapsed="false">
      <c r="A232" s="24"/>
      <c r="B232" s="32" t="s">
        <v>91</v>
      </c>
      <c r="C232" s="33" t="n">
        <f aca="false">SUM(C226:C231)</f>
        <v>0</v>
      </c>
      <c r="D232" s="33" t="n">
        <f aca="false">SUM(D226:D231)</f>
        <v>0</v>
      </c>
      <c r="E232" s="33" t="n">
        <f aca="false">SUM(E226:E231)</f>
        <v>0</v>
      </c>
      <c r="F232" s="33" t="n">
        <f aca="false">SUM(F226:F231)</f>
        <v>0</v>
      </c>
      <c r="G232" s="33" t="n">
        <f aca="false">SUM(G226:G231)</f>
        <v>0</v>
      </c>
      <c r="H232" s="34" t="n">
        <f aca="false">SUM(H226:H231)</f>
        <v>0</v>
      </c>
      <c r="I232" s="33" t="n">
        <f aca="false">SUM(I226:I231)</f>
        <v>0</v>
      </c>
      <c r="K232" s="35" t="n">
        <f aca="false">IF(AND(('Pro إعدادات'!$C$37="نعم"),IF($T$196=1,'Pro إعدادات'!$G$39,'Pro إعدادات'!$D$39)&gt;0),'Pro ملف الرياضي'!$H$27*IF($T$196=1,'Pro إعدادات'!$G$37,'Pro إعدادات'!$D$37)/IF($T$196=1,'Pro إعدادات'!$G$39,'Pro إعدادات'!$D$39),0)</f>
        <v>36</v>
      </c>
      <c r="L232" s="35" t="n">
        <f aca="false">IF(AND(('Pro إعدادات'!$C$37="نعم"),IF($T$196=1,'Pro إعدادات'!$H$39,'Pro إعدادات'!$E$39)&gt;0),'Pro ملف الرياضي'!$I$27*IF($T$196=1,'Pro إعدادات'!$H$37,'Pro إعدادات'!$E$37)/IF($T$196=1,'Pro إعدادات'!$H$39,'Pro إعدادات'!$E$39),0)</f>
        <v>60</v>
      </c>
      <c r="M232" s="35" t="n">
        <f aca="false">IF(AND(('Pro إعدادات'!$C$37="نعم"),IF($T$196=1,'Pro إعدادات'!$I$39,'Pro إعدادات'!$F$39)&gt;0),'Pro ملف الرياضي'!$J$27*IF($T$196=1,'Pro إعدادات'!$I$37,'Pro إعدادات'!$F$37)/IF($T$196=1,'Pro إعدادات'!$I$39,'Pro إعدادات'!$F$39),0)</f>
        <v>21.6</v>
      </c>
      <c r="N232" s="35" t="n">
        <f aca="false">4*K232+4*L232+9*M232</f>
        <v>578.4</v>
      </c>
      <c r="O232" s="21" t="n">
        <f aca="false">E232-K232</f>
        <v>-36</v>
      </c>
      <c r="P232" s="21" t="n">
        <f aca="false">F232-L232</f>
        <v>-60</v>
      </c>
      <c r="Q232" s="21" t="n">
        <f aca="false">G232-M232</f>
        <v>-21.6</v>
      </c>
    </row>
    <row r="233" customFormat="false" ht="15" hidden="false" customHeight="false" outlineLevel="0" collapsed="false">
      <c r="A233" s="14" t="str">
        <f aca="false">'Pro إعدادات'!A38&amp;" ("&amp;'Pro إعدادات'!B38&amp;")"</f>
        <v>وجبة ليلية (22:30)</v>
      </c>
      <c r="B233" s="5"/>
      <c r="C233" s="18"/>
      <c r="D233" s="19" t="str">
        <f aca="false">IF(OR($S233="",N($C233)=0),"",$C233/100*N(INDEX('Pro قاعدة الأغذية'!$F$5:$F$604,$S233)))</f>
        <v/>
      </c>
      <c r="E233" s="22" t="str">
        <f aca="false">IF(OR($S233="",N($C233)=0),"",$C233/100*N(INDEX('Pro قاعدة الأغذية'!$G$5:$G$604,$S233)))</f>
        <v/>
      </c>
      <c r="F233" s="22" t="str">
        <f aca="false">IF(OR($S233="",N($C233)=0),"",$C233/100*N(INDEX('Pro قاعدة الأغذية'!$H$5:$H$604,$S233)))</f>
        <v/>
      </c>
      <c r="G233" s="22" t="str">
        <f aca="false">IF(OR($S233="",N($C233)=0),"",$C233/100*N(INDEX('Pro قاعدة الأغذية'!$I$5:$I$604,$S233)))</f>
        <v/>
      </c>
      <c r="H233" s="22" t="str">
        <f aca="false">IF(OR($S233="",N($C233)=0),"",$C233/100*N(INDEX('Pro قاعدة الأغذية'!$J$5:$J$604,$S233)))</f>
        <v/>
      </c>
      <c r="I233" s="19" t="str">
        <f aca="false">IF(OR($S233="",N($C233)=0),"",$C233/100*N(INDEX('Pro قاعدة الأغذية'!$L$5:$L$604,$S233)))</f>
        <v/>
      </c>
      <c r="J233" s="30" t="str">
        <f aca="false">IF($S233="","",INDEX('Pro قاعدة الأغذية'!$E$5:$E$604,$S233))</f>
        <v/>
      </c>
      <c r="S233" s="31" t="str">
        <f aca="false">IF(B233="","",IFERROR(MATCH(B233,'Pro قاعدة الأغذية'!$C$5:$C$604,0),""))</f>
        <v/>
      </c>
    </row>
    <row r="234" customFormat="false" ht="15" hidden="false" customHeight="false" outlineLevel="0" collapsed="false">
      <c r="A234" s="24"/>
      <c r="B234" s="5"/>
      <c r="C234" s="18"/>
      <c r="D234" s="19" t="str">
        <f aca="false">IF(OR($S234="",N($C234)=0),"",$C234/100*N(INDEX('Pro قاعدة الأغذية'!$F$5:$F$604,$S234)))</f>
        <v/>
      </c>
      <c r="E234" s="22" t="str">
        <f aca="false">IF(OR($S234="",N($C234)=0),"",$C234/100*N(INDEX('Pro قاعدة الأغذية'!$G$5:$G$604,$S234)))</f>
        <v/>
      </c>
      <c r="F234" s="22" t="str">
        <f aca="false">IF(OR($S234="",N($C234)=0),"",$C234/100*N(INDEX('Pro قاعدة الأغذية'!$H$5:$H$604,$S234)))</f>
        <v/>
      </c>
      <c r="G234" s="22" t="str">
        <f aca="false">IF(OR($S234="",N($C234)=0),"",$C234/100*N(INDEX('Pro قاعدة الأغذية'!$I$5:$I$604,$S234)))</f>
        <v/>
      </c>
      <c r="H234" s="22" t="str">
        <f aca="false">IF(OR($S234="",N($C234)=0),"",$C234/100*N(INDEX('Pro قاعدة الأغذية'!$J$5:$J$604,$S234)))</f>
        <v/>
      </c>
      <c r="I234" s="19" t="str">
        <f aca="false">IF(OR($S234="",N($C234)=0),"",$C234/100*N(INDEX('Pro قاعدة الأغذية'!$L$5:$L$604,$S234)))</f>
        <v/>
      </c>
      <c r="J234" s="30" t="str">
        <f aca="false">IF($S234="","",INDEX('Pro قاعدة الأغذية'!$E$5:$E$604,$S234))</f>
        <v/>
      </c>
      <c r="S234" s="31" t="str">
        <f aca="false">IF(B234="","",IFERROR(MATCH(B234,'Pro قاعدة الأغذية'!$C$5:$C$604,0),""))</f>
        <v/>
      </c>
    </row>
    <row r="235" customFormat="false" ht="15" hidden="false" customHeight="false" outlineLevel="0" collapsed="false">
      <c r="A235" s="24"/>
      <c r="B235" s="5"/>
      <c r="C235" s="18"/>
      <c r="D235" s="19" t="str">
        <f aca="false">IF(OR($S235="",N($C235)=0),"",$C235/100*N(INDEX('Pro قاعدة الأغذية'!$F$5:$F$604,$S235)))</f>
        <v/>
      </c>
      <c r="E235" s="22" t="str">
        <f aca="false">IF(OR($S235="",N($C235)=0),"",$C235/100*N(INDEX('Pro قاعدة الأغذية'!$G$5:$G$604,$S235)))</f>
        <v/>
      </c>
      <c r="F235" s="22" t="str">
        <f aca="false">IF(OR($S235="",N($C235)=0),"",$C235/100*N(INDEX('Pro قاعدة الأغذية'!$H$5:$H$604,$S235)))</f>
        <v/>
      </c>
      <c r="G235" s="22" t="str">
        <f aca="false">IF(OR($S235="",N($C235)=0),"",$C235/100*N(INDEX('Pro قاعدة الأغذية'!$I$5:$I$604,$S235)))</f>
        <v/>
      </c>
      <c r="H235" s="22" t="str">
        <f aca="false">IF(OR($S235="",N($C235)=0),"",$C235/100*N(INDEX('Pro قاعدة الأغذية'!$J$5:$J$604,$S235)))</f>
        <v/>
      </c>
      <c r="I235" s="19" t="str">
        <f aca="false">IF(OR($S235="",N($C235)=0),"",$C235/100*N(INDEX('Pro قاعدة الأغذية'!$L$5:$L$604,$S235)))</f>
        <v/>
      </c>
      <c r="J235" s="30" t="str">
        <f aca="false">IF($S235="","",INDEX('Pro قاعدة الأغذية'!$E$5:$E$604,$S235))</f>
        <v/>
      </c>
      <c r="S235" s="31" t="str">
        <f aca="false">IF(B235="","",IFERROR(MATCH(B235,'Pro قاعدة الأغذية'!$C$5:$C$604,0),""))</f>
        <v/>
      </c>
    </row>
    <row r="236" customFormat="false" ht="15" hidden="false" customHeight="false" outlineLevel="0" collapsed="false">
      <c r="A236" s="24"/>
      <c r="B236" s="5"/>
      <c r="C236" s="18"/>
      <c r="D236" s="19" t="str">
        <f aca="false">IF(OR($S236="",N($C236)=0),"",$C236/100*N(INDEX('Pro قاعدة الأغذية'!$F$5:$F$604,$S236)))</f>
        <v/>
      </c>
      <c r="E236" s="22" t="str">
        <f aca="false">IF(OR($S236="",N($C236)=0),"",$C236/100*N(INDEX('Pro قاعدة الأغذية'!$G$5:$G$604,$S236)))</f>
        <v/>
      </c>
      <c r="F236" s="22" t="str">
        <f aca="false">IF(OR($S236="",N($C236)=0),"",$C236/100*N(INDEX('Pro قاعدة الأغذية'!$H$5:$H$604,$S236)))</f>
        <v/>
      </c>
      <c r="G236" s="22" t="str">
        <f aca="false">IF(OR($S236="",N($C236)=0),"",$C236/100*N(INDEX('Pro قاعدة الأغذية'!$I$5:$I$604,$S236)))</f>
        <v/>
      </c>
      <c r="H236" s="22" t="str">
        <f aca="false">IF(OR($S236="",N($C236)=0),"",$C236/100*N(INDEX('Pro قاعدة الأغذية'!$J$5:$J$604,$S236)))</f>
        <v/>
      </c>
      <c r="I236" s="19" t="str">
        <f aca="false">IF(OR($S236="",N($C236)=0),"",$C236/100*N(INDEX('Pro قاعدة الأغذية'!$L$5:$L$604,$S236)))</f>
        <v/>
      </c>
      <c r="J236" s="30" t="str">
        <f aca="false">IF($S236="","",INDEX('Pro قاعدة الأغذية'!$E$5:$E$604,$S236))</f>
        <v/>
      </c>
      <c r="S236" s="31" t="str">
        <f aca="false">IF(B236="","",IFERROR(MATCH(B236,'Pro قاعدة الأغذية'!$C$5:$C$604,0),""))</f>
        <v/>
      </c>
    </row>
    <row r="237" customFormat="false" ht="15" hidden="false" customHeight="false" outlineLevel="0" collapsed="false">
      <c r="A237" s="24"/>
      <c r="B237" s="5"/>
      <c r="C237" s="18"/>
      <c r="D237" s="19" t="str">
        <f aca="false">IF(OR($S237="",N($C237)=0),"",$C237/100*N(INDEX('Pro قاعدة الأغذية'!$F$5:$F$604,$S237)))</f>
        <v/>
      </c>
      <c r="E237" s="22" t="str">
        <f aca="false">IF(OR($S237="",N($C237)=0),"",$C237/100*N(INDEX('Pro قاعدة الأغذية'!$G$5:$G$604,$S237)))</f>
        <v/>
      </c>
      <c r="F237" s="22" t="str">
        <f aca="false">IF(OR($S237="",N($C237)=0),"",$C237/100*N(INDEX('Pro قاعدة الأغذية'!$H$5:$H$604,$S237)))</f>
        <v/>
      </c>
      <c r="G237" s="22" t="str">
        <f aca="false">IF(OR($S237="",N($C237)=0),"",$C237/100*N(INDEX('Pro قاعدة الأغذية'!$I$5:$I$604,$S237)))</f>
        <v/>
      </c>
      <c r="H237" s="22" t="str">
        <f aca="false">IF(OR($S237="",N($C237)=0),"",$C237/100*N(INDEX('Pro قاعدة الأغذية'!$J$5:$J$604,$S237)))</f>
        <v/>
      </c>
      <c r="I237" s="19" t="str">
        <f aca="false">IF(OR($S237="",N($C237)=0),"",$C237/100*N(INDEX('Pro قاعدة الأغذية'!$L$5:$L$604,$S237)))</f>
        <v/>
      </c>
      <c r="J237" s="30" t="str">
        <f aca="false">IF($S237="","",INDEX('Pro قاعدة الأغذية'!$E$5:$E$604,$S237))</f>
        <v/>
      </c>
      <c r="S237" s="31" t="str">
        <f aca="false">IF(B237="","",IFERROR(MATCH(B237,'Pro قاعدة الأغذية'!$C$5:$C$604,0),""))</f>
        <v/>
      </c>
    </row>
    <row r="238" customFormat="false" ht="15" hidden="false" customHeight="false" outlineLevel="0" collapsed="false">
      <c r="A238" s="24"/>
      <c r="B238" s="5"/>
      <c r="C238" s="18"/>
      <c r="D238" s="19" t="str">
        <f aca="false">IF(OR($S238="",N($C238)=0),"",$C238/100*N(INDEX('Pro قاعدة الأغذية'!$F$5:$F$604,$S238)))</f>
        <v/>
      </c>
      <c r="E238" s="22" t="str">
        <f aca="false">IF(OR($S238="",N($C238)=0),"",$C238/100*N(INDEX('Pro قاعدة الأغذية'!$G$5:$G$604,$S238)))</f>
        <v/>
      </c>
      <c r="F238" s="22" t="str">
        <f aca="false">IF(OR($S238="",N($C238)=0),"",$C238/100*N(INDEX('Pro قاعدة الأغذية'!$H$5:$H$604,$S238)))</f>
        <v/>
      </c>
      <c r="G238" s="22" t="str">
        <f aca="false">IF(OR($S238="",N($C238)=0),"",$C238/100*N(INDEX('Pro قاعدة الأغذية'!$I$5:$I$604,$S238)))</f>
        <v/>
      </c>
      <c r="H238" s="22" t="str">
        <f aca="false">IF(OR($S238="",N($C238)=0),"",$C238/100*N(INDEX('Pro قاعدة الأغذية'!$J$5:$J$604,$S238)))</f>
        <v/>
      </c>
      <c r="I238" s="19" t="str">
        <f aca="false">IF(OR($S238="",N($C238)=0),"",$C238/100*N(INDEX('Pro قاعدة الأغذية'!$L$5:$L$604,$S238)))</f>
        <v/>
      </c>
      <c r="J238" s="30" t="str">
        <f aca="false">IF($S238="","",INDEX('Pro قاعدة الأغذية'!$E$5:$E$604,$S238))</f>
        <v/>
      </c>
      <c r="S238" s="31" t="str">
        <f aca="false">IF(B238="","",IFERROR(MATCH(B238,'Pro قاعدة الأغذية'!$C$5:$C$604,0),""))</f>
        <v/>
      </c>
    </row>
    <row r="239" customFormat="false" ht="15" hidden="false" customHeight="false" outlineLevel="0" collapsed="false">
      <c r="A239" s="24"/>
      <c r="B239" s="32" t="s">
        <v>91</v>
      </c>
      <c r="C239" s="33" t="n">
        <f aca="false">SUM(C233:C238)</f>
        <v>0</v>
      </c>
      <c r="D239" s="33" t="n">
        <f aca="false">SUM(D233:D238)</f>
        <v>0</v>
      </c>
      <c r="E239" s="33" t="n">
        <f aca="false">SUM(E233:E238)</f>
        <v>0</v>
      </c>
      <c r="F239" s="33" t="n">
        <f aca="false">SUM(F233:F238)</f>
        <v>0</v>
      </c>
      <c r="G239" s="33" t="n">
        <f aca="false">SUM(G233:G238)</f>
        <v>0</v>
      </c>
      <c r="H239" s="34" t="n">
        <f aca="false">SUM(H233:H238)</f>
        <v>0</v>
      </c>
      <c r="I239" s="33" t="n">
        <f aca="false">SUM(I233:I238)</f>
        <v>0</v>
      </c>
      <c r="K239" s="35" t="n">
        <f aca="false">IF(AND(('Pro إعدادات'!$C$38="نعم"),IF($T$196=1,'Pro إعدادات'!$G$39,'Pro إعدادات'!$D$39)&gt;0),'Pro ملف الرياضي'!$H$27*IF($T$196=1,'Pro إعدادات'!$G$38,'Pro إعدادات'!$D$38)/IF($T$196=1,'Pro إعدادات'!$G$39,'Pro إعدادات'!$D$39),0)</f>
        <v>0</v>
      </c>
      <c r="L239" s="35" t="n">
        <f aca="false">IF(AND(('Pro إعدادات'!$C$38="نعم"),IF($T$196=1,'Pro إعدادات'!$H$39,'Pro إعدادات'!$E$39)&gt;0),'Pro ملف الرياضي'!$I$27*IF($T$196=1,'Pro إعدادات'!$H$38,'Pro إعدادات'!$E$38)/IF($T$196=1,'Pro إعدادات'!$H$39,'Pro إعدادات'!$E$39),0)</f>
        <v>0</v>
      </c>
      <c r="M239" s="35" t="n">
        <f aca="false">IF(AND(('Pro إعدادات'!$C$38="نعم"),IF($T$196=1,'Pro إعدادات'!$I$39,'Pro إعدادات'!$F$39)&gt;0),'Pro ملف الرياضي'!$J$27*IF($T$196=1,'Pro إعدادات'!$I$38,'Pro إعدادات'!$F$38)/IF($T$196=1,'Pro إعدادات'!$I$39,'Pro إعدادات'!$F$39),0)</f>
        <v>0</v>
      </c>
      <c r="N239" s="35" t="n">
        <f aca="false">4*K239+4*L239+9*M239</f>
        <v>0</v>
      </c>
      <c r="O239" s="21" t="n">
        <f aca="false">E239-K239</f>
        <v>0</v>
      </c>
      <c r="P239" s="21" t="n">
        <f aca="false">F239-L239</f>
        <v>0</v>
      </c>
      <c r="Q239" s="21" t="n">
        <f aca="false">G239-M239</f>
        <v>0</v>
      </c>
    </row>
    <row r="240" customFormat="false" ht="17.35" hidden="false" customHeight="false" outlineLevel="0" collapsed="false">
      <c r="B240" s="36" t="s">
        <v>103</v>
      </c>
      <c r="C240" s="33" t="n">
        <f aca="false">C204+C211+C218+C225+C232+C239</f>
        <v>0</v>
      </c>
      <c r="D240" s="35" t="n">
        <f aca="false">D204+D211+D218+D225+D232+D239</f>
        <v>0</v>
      </c>
      <c r="E240" s="35" t="n">
        <f aca="false">E204+E211+E218+E225+E232+E239</f>
        <v>0</v>
      </c>
      <c r="F240" s="35" t="n">
        <f aca="false">F204+F211+F218+F225+F232+F239</f>
        <v>0</v>
      </c>
      <c r="G240" s="35" t="n">
        <f aca="false">G204+G211+G218+G225+G232+G239</f>
        <v>0</v>
      </c>
      <c r="H240" s="37" t="n">
        <f aca="false">H204+H211+H218+H225+H232+H239</f>
        <v>0</v>
      </c>
      <c r="I240" s="35" t="n">
        <f aca="false">I204+I211+I218+I225+I232+I239</f>
        <v>0</v>
      </c>
      <c r="K240" s="35" t="n">
        <f aca="false">K204+K211+K218+K225+K232+K239</f>
        <v>144</v>
      </c>
      <c r="L240" s="35" t="n">
        <f aca="false">L204+L211+L218+L225+L232+L239</f>
        <v>400</v>
      </c>
      <c r="M240" s="35" t="n">
        <f aca="false">M204+M211+M218+M225+M232+M239</f>
        <v>72</v>
      </c>
      <c r="N240" s="35" t="n">
        <f aca="false">N204+N211+N218+N225+N232+N239</f>
        <v>2824</v>
      </c>
    </row>
    <row r="241" customFormat="false" ht="15" hidden="false" customHeight="false" outlineLevel="0" collapsed="false">
      <c r="B241" s="32" t="s">
        <v>104</v>
      </c>
      <c r="D241" s="21" t="n">
        <f aca="false">D240-'Pro ملف الرياضي'!G27</f>
        <v>-2670.75</v>
      </c>
      <c r="E241" s="21" t="n">
        <f aca="false">E240-'Pro ملف الرياضي'!H27</f>
        <v>-144</v>
      </c>
      <c r="F241" s="21" t="n">
        <f aca="false">F240-'Pro ملف الرياضي'!I27</f>
        <v>-400</v>
      </c>
      <c r="G241" s="21" t="n">
        <f aca="false">G240-'Pro ملف الرياضي'!J27</f>
        <v>-72</v>
      </c>
    </row>
    <row r="242" customFormat="false" ht="15" hidden="false" customHeight="false" outlineLevel="0" collapsed="false">
      <c r="B242" s="32" t="s">
        <v>80</v>
      </c>
      <c r="D242" s="38" t="str">
        <f aca="false">IF(AND(ABS(E241)&lt;='Pro إعدادات'!$B$28*2,ABS(F241)&lt;='Pro إعدادات'!$B$28*3,ABS(G241)&lt;='Pro إعدادات'!$B$28*2),"✔ ضمن السماحية","◐ راجع الفروقات")</f>
        <v>◐ راجع الفروقات</v>
      </c>
    </row>
    <row r="244" customFormat="false" ht="17.35" hidden="false" customHeight="false" outlineLevel="0" collapsed="false">
      <c r="A244" s="28" t="str">
        <f aca="false">"الجمعة — "&amp;'Pro ملف الرياضي'!B28&amp;"  |  الهدف: "&amp;ROUND('Pro ملف الرياضي'!G28,0)&amp;" kcal  •  بروتين "&amp;ROUND('Pro ملف الرياضي'!H28,0)&amp;" جم  •  كارب "&amp;ROUND('Pro ملف الرياضي'!I28,0)&amp;" جم  •  دهون "&amp;ROUND('Pro ملف الرياضي'!J28,0)&amp;" جم"</f>
        <v>الجمعة — راحة  |  الهدف: 2311 kcal  •  بروتين 144 جم  •  كارب 240 جم  •  دهون 72 جم</v>
      </c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T244" s="29" t="n">
        <f aca="false">IF(INDEX('Pro إعدادات'!$D$14:$D$19,MATCH('Pro ملف الرياضي'!B28,'Pro إعدادات'!$A$14:$A$19,0))="نعم",1,0)</f>
        <v>0</v>
      </c>
    </row>
    <row r="245" customFormat="false" ht="15" hidden="false" customHeight="false" outlineLevel="0" collapsed="false">
      <c r="A245" s="15" t="s">
        <v>74</v>
      </c>
      <c r="B245" s="15" t="s">
        <v>75</v>
      </c>
      <c r="C245" s="15" t="s">
        <v>76</v>
      </c>
      <c r="D245" s="15" t="s">
        <v>77</v>
      </c>
      <c r="E245" s="15" t="s">
        <v>38</v>
      </c>
      <c r="F245" s="15" t="s">
        <v>39</v>
      </c>
      <c r="G245" s="15" t="s">
        <v>40</v>
      </c>
      <c r="H245" s="15" t="s">
        <v>78</v>
      </c>
      <c r="I245" s="15" t="s">
        <v>79</v>
      </c>
      <c r="J245" s="15" t="s">
        <v>80</v>
      </c>
      <c r="K245" s="15" t="s">
        <v>81</v>
      </c>
      <c r="L245" s="15" t="s">
        <v>82</v>
      </c>
      <c r="M245" s="15" t="s">
        <v>83</v>
      </c>
      <c r="N245" s="15" t="s">
        <v>84</v>
      </c>
      <c r="O245" s="15" t="s">
        <v>85</v>
      </c>
      <c r="P245" s="15" t="s">
        <v>86</v>
      </c>
      <c r="Q245" s="15" t="s">
        <v>87</v>
      </c>
    </row>
    <row r="246" customFormat="false" ht="15" hidden="false" customHeight="false" outlineLevel="0" collapsed="false">
      <c r="A246" s="14" t="str">
        <f aca="false">'Pro إعدادات'!A33&amp;" ("&amp;'Pro إعدادات'!B33&amp;")"</f>
        <v>الإفطار (07:30)</v>
      </c>
      <c r="B246" s="5"/>
      <c r="C246" s="18"/>
      <c r="D246" s="19" t="str">
        <f aca="false">IF(OR($S246="",N($C246)=0),"",$C246/100*N(INDEX('Pro قاعدة الأغذية'!$F$5:$F$604,$S246)))</f>
        <v/>
      </c>
      <c r="E246" s="22" t="str">
        <f aca="false">IF(OR($S246="",N($C246)=0),"",$C246/100*N(INDEX('Pro قاعدة الأغذية'!$G$5:$G$604,$S246)))</f>
        <v/>
      </c>
      <c r="F246" s="22" t="str">
        <f aca="false">IF(OR($S246="",N($C246)=0),"",$C246/100*N(INDEX('Pro قاعدة الأغذية'!$H$5:$H$604,$S246)))</f>
        <v/>
      </c>
      <c r="G246" s="22" t="str">
        <f aca="false">IF(OR($S246="",N($C246)=0),"",$C246/100*N(INDEX('Pro قاعدة الأغذية'!$I$5:$I$604,$S246)))</f>
        <v/>
      </c>
      <c r="H246" s="22" t="str">
        <f aca="false">IF(OR($S246="",N($C246)=0),"",$C246/100*N(INDEX('Pro قاعدة الأغذية'!$J$5:$J$604,$S246)))</f>
        <v/>
      </c>
      <c r="I246" s="19" t="str">
        <f aca="false">IF(OR($S246="",N($C246)=0),"",$C246/100*N(INDEX('Pro قاعدة الأغذية'!$L$5:$L$604,$S246)))</f>
        <v/>
      </c>
      <c r="J246" s="30" t="str">
        <f aca="false">IF($S246="","",INDEX('Pro قاعدة الأغذية'!$E$5:$E$604,$S246))</f>
        <v/>
      </c>
      <c r="S246" s="31" t="str">
        <f aca="false">IF(B246="","",IFERROR(MATCH(B246,'Pro قاعدة الأغذية'!$C$5:$C$604,0),""))</f>
        <v/>
      </c>
    </row>
    <row r="247" customFormat="false" ht="15" hidden="false" customHeight="false" outlineLevel="0" collapsed="false">
      <c r="A247" s="24"/>
      <c r="B247" s="5"/>
      <c r="C247" s="18"/>
      <c r="D247" s="19" t="str">
        <f aca="false">IF(OR($S247="",N($C247)=0),"",$C247/100*N(INDEX('Pro قاعدة الأغذية'!$F$5:$F$604,$S247)))</f>
        <v/>
      </c>
      <c r="E247" s="22" t="str">
        <f aca="false">IF(OR($S247="",N($C247)=0),"",$C247/100*N(INDEX('Pro قاعدة الأغذية'!$G$5:$G$604,$S247)))</f>
        <v/>
      </c>
      <c r="F247" s="22" t="str">
        <f aca="false">IF(OR($S247="",N($C247)=0),"",$C247/100*N(INDEX('Pro قاعدة الأغذية'!$H$5:$H$604,$S247)))</f>
        <v/>
      </c>
      <c r="G247" s="22" t="str">
        <f aca="false">IF(OR($S247="",N($C247)=0),"",$C247/100*N(INDEX('Pro قاعدة الأغذية'!$I$5:$I$604,$S247)))</f>
        <v/>
      </c>
      <c r="H247" s="22" t="str">
        <f aca="false">IF(OR($S247="",N($C247)=0),"",$C247/100*N(INDEX('Pro قاعدة الأغذية'!$J$5:$J$604,$S247)))</f>
        <v/>
      </c>
      <c r="I247" s="19" t="str">
        <f aca="false">IF(OR($S247="",N($C247)=0),"",$C247/100*N(INDEX('Pro قاعدة الأغذية'!$L$5:$L$604,$S247)))</f>
        <v/>
      </c>
      <c r="J247" s="30" t="str">
        <f aca="false">IF($S247="","",INDEX('Pro قاعدة الأغذية'!$E$5:$E$604,$S247))</f>
        <v/>
      </c>
      <c r="S247" s="31" t="str">
        <f aca="false">IF(B247="","",IFERROR(MATCH(B247,'Pro قاعدة الأغذية'!$C$5:$C$604,0),""))</f>
        <v/>
      </c>
    </row>
    <row r="248" customFormat="false" ht="15" hidden="false" customHeight="false" outlineLevel="0" collapsed="false">
      <c r="A248" s="24"/>
      <c r="B248" s="5"/>
      <c r="C248" s="18"/>
      <c r="D248" s="19" t="str">
        <f aca="false">IF(OR($S248="",N($C248)=0),"",$C248/100*N(INDEX('Pro قاعدة الأغذية'!$F$5:$F$604,$S248)))</f>
        <v/>
      </c>
      <c r="E248" s="22" t="str">
        <f aca="false">IF(OR($S248="",N($C248)=0),"",$C248/100*N(INDEX('Pro قاعدة الأغذية'!$G$5:$G$604,$S248)))</f>
        <v/>
      </c>
      <c r="F248" s="22" t="str">
        <f aca="false">IF(OR($S248="",N($C248)=0),"",$C248/100*N(INDEX('Pro قاعدة الأغذية'!$H$5:$H$604,$S248)))</f>
        <v/>
      </c>
      <c r="G248" s="22" t="str">
        <f aca="false">IF(OR($S248="",N($C248)=0),"",$C248/100*N(INDEX('Pro قاعدة الأغذية'!$I$5:$I$604,$S248)))</f>
        <v/>
      </c>
      <c r="H248" s="22" t="str">
        <f aca="false">IF(OR($S248="",N($C248)=0),"",$C248/100*N(INDEX('Pro قاعدة الأغذية'!$J$5:$J$604,$S248)))</f>
        <v/>
      </c>
      <c r="I248" s="19" t="str">
        <f aca="false">IF(OR($S248="",N($C248)=0),"",$C248/100*N(INDEX('Pro قاعدة الأغذية'!$L$5:$L$604,$S248)))</f>
        <v/>
      </c>
      <c r="J248" s="30" t="str">
        <f aca="false">IF($S248="","",INDEX('Pro قاعدة الأغذية'!$E$5:$E$604,$S248))</f>
        <v/>
      </c>
      <c r="S248" s="31" t="str">
        <f aca="false">IF(B248="","",IFERROR(MATCH(B248,'Pro قاعدة الأغذية'!$C$5:$C$604,0),""))</f>
        <v/>
      </c>
    </row>
    <row r="249" customFormat="false" ht="15" hidden="false" customHeight="false" outlineLevel="0" collapsed="false">
      <c r="A249" s="24"/>
      <c r="B249" s="5"/>
      <c r="C249" s="18"/>
      <c r="D249" s="19" t="str">
        <f aca="false">IF(OR($S249="",N($C249)=0),"",$C249/100*N(INDEX('Pro قاعدة الأغذية'!$F$5:$F$604,$S249)))</f>
        <v/>
      </c>
      <c r="E249" s="22" t="str">
        <f aca="false">IF(OR($S249="",N($C249)=0),"",$C249/100*N(INDEX('Pro قاعدة الأغذية'!$G$5:$G$604,$S249)))</f>
        <v/>
      </c>
      <c r="F249" s="22" t="str">
        <f aca="false">IF(OR($S249="",N($C249)=0),"",$C249/100*N(INDEX('Pro قاعدة الأغذية'!$H$5:$H$604,$S249)))</f>
        <v/>
      </c>
      <c r="G249" s="22" t="str">
        <f aca="false">IF(OR($S249="",N($C249)=0),"",$C249/100*N(INDEX('Pro قاعدة الأغذية'!$I$5:$I$604,$S249)))</f>
        <v/>
      </c>
      <c r="H249" s="22" t="str">
        <f aca="false">IF(OR($S249="",N($C249)=0),"",$C249/100*N(INDEX('Pro قاعدة الأغذية'!$J$5:$J$604,$S249)))</f>
        <v/>
      </c>
      <c r="I249" s="19" t="str">
        <f aca="false">IF(OR($S249="",N($C249)=0),"",$C249/100*N(INDEX('Pro قاعدة الأغذية'!$L$5:$L$604,$S249)))</f>
        <v/>
      </c>
      <c r="J249" s="30" t="str">
        <f aca="false">IF($S249="","",INDEX('Pro قاعدة الأغذية'!$E$5:$E$604,$S249))</f>
        <v/>
      </c>
      <c r="S249" s="31" t="str">
        <f aca="false">IF(B249="","",IFERROR(MATCH(B249,'Pro قاعدة الأغذية'!$C$5:$C$604,0),""))</f>
        <v/>
      </c>
    </row>
    <row r="250" customFormat="false" ht="15" hidden="false" customHeight="false" outlineLevel="0" collapsed="false">
      <c r="A250" s="24"/>
      <c r="B250" s="5"/>
      <c r="C250" s="18"/>
      <c r="D250" s="19" t="str">
        <f aca="false">IF(OR($S250="",N($C250)=0),"",$C250/100*N(INDEX('Pro قاعدة الأغذية'!$F$5:$F$604,$S250)))</f>
        <v/>
      </c>
      <c r="E250" s="22" t="str">
        <f aca="false">IF(OR($S250="",N($C250)=0),"",$C250/100*N(INDEX('Pro قاعدة الأغذية'!$G$5:$G$604,$S250)))</f>
        <v/>
      </c>
      <c r="F250" s="22" t="str">
        <f aca="false">IF(OR($S250="",N($C250)=0),"",$C250/100*N(INDEX('Pro قاعدة الأغذية'!$H$5:$H$604,$S250)))</f>
        <v/>
      </c>
      <c r="G250" s="22" t="str">
        <f aca="false">IF(OR($S250="",N($C250)=0),"",$C250/100*N(INDEX('Pro قاعدة الأغذية'!$I$5:$I$604,$S250)))</f>
        <v/>
      </c>
      <c r="H250" s="22" t="str">
        <f aca="false">IF(OR($S250="",N($C250)=0),"",$C250/100*N(INDEX('Pro قاعدة الأغذية'!$J$5:$J$604,$S250)))</f>
        <v/>
      </c>
      <c r="I250" s="19" t="str">
        <f aca="false">IF(OR($S250="",N($C250)=0),"",$C250/100*N(INDEX('Pro قاعدة الأغذية'!$L$5:$L$604,$S250)))</f>
        <v/>
      </c>
      <c r="J250" s="30" t="str">
        <f aca="false">IF($S250="","",INDEX('Pro قاعدة الأغذية'!$E$5:$E$604,$S250))</f>
        <v/>
      </c>
      <c r="S250" s="31" t="str">
        <f aca="false">IF(B250="","",IFERROR(MATCH(B250,'Pro قاعدة الأغذية'!$C$5:$C$604,0),""))</f>
        <v/>
      </c>
    </row>
    <row r="251" customFormat="false" ht="15" hidden="false" customHeight="false" outlineLevel="0" collapsed="false">
      <c r="A251" s="24"/>
      <c r="B251" s="5"/>
      <c r="C251" s="18"/>
      <c r="D251" s="19" t="str">
        <f aca="false">IF(OR($S251="",N($C251)=0),"",$C251/100*N(INDEX('Pro قاعدة الأغذية'!$F$5:$F$604,$S251)))</f>
        <v/>
      </c>
      <c r="E251" s="22" t="str">
        <f aca="false">IF(OR($S251="",N($C251)=0),"",$C251/100*N(INDEX('Pro قاعدة الأغذية'!$G$5:$G$604,$S251)))</f>
        <v/>
      </c>
      <c r="F251" s="22" t="str">
        <f aca="false">IF(OR($S251="",N($C251)=0),"",$C251/100*N(INDEX('Pro قاعدة الأغذية'!$H$5:$H$604,$S251)))</f>
        <v/>
      </c>
      <c r="G251" s="22" t="str">
        <f aca="false">IF(OR($S251="",N($C251)=0),"",$C251/100*N(INDEX('Pro قاعدة الأغذية'!$I$5:$I$604,$S251)))</f>
        <v/>
      </c>
      <c r="H251" s="22" t="str">
        <f aca="false">IF(OR($S251="",N($C251)=0),"",$C251/100*N(INDEX('Pro قاعدة الأغذية'!$J$5:$J$604,$S251)))</f>
        <v/>
      </c>
      <c r="I251" s="19" t="str">
        <f aca="false">IF(OR($S251="",N($C251)=0),"",$C251/100*N(INDEX('Pro قاعدة الأغذية'!$L$5:$L$604,$S251)))</f>
        <v/>
      </c>
      <c r="J251" s="30" t="str">
        <f aca="false">IF($S251="","",INDEX('Pro قاعدة الأغذية'!$E$5:$E$604,$S251))</f>
        <v/>
      </c>
      <c r="S251" s="31" t="str">
        <f aca="false">IF(B251="","",IFERROR(MATCH(B251,'Pro قاعدة الأغذية'!$C$5:$C$604,0),""))</f>
        <v/>
      </c>
    </row>
    <row r="252" customFormat="false" ht="15" hidden="false" customHeight="false" outlineLevel="0" collapsed="false">
      <c r="A252" s="24"/>
      <c r="B252" s="32" t="s">
        <v>91</v>
      </c>
      <c r="C252" s="33" t="n">
        <f aca="false">SUM(C246:C251)</f>
        <v>0</v>
      </c>
      <c r="D252" s="33" t="n">
        <f aca="false">SUM(D246:D251)</f>
        <v>0</v>
      </c>
      <c r="E252" s="33" t="n">
        <f aca="false">SUM(E246:E251)</f>
        <v>0</v>
      </c>
      <c r="F252" s="33" t="n">
        <f aca="false">SUM(F246:F251)</f>
        <v>0</v>
      </c>
      <c r="G252" s="33" t="n">
        <f aca="false">SUM(G246:G251)</f>
        <v>0</v>
      </c>
      <c r="H252" s="34" t="n">
        <f aca="false">SUM(H246:H251)</f>
        <v>0</v>
      </c>
      <c r="I252" s="33" t="n">
        <f aca="false">SUM(I246:I251)</f>
        <v>0</v>
      </c>
      <c r="K252" s="35" t="n">
        <f aca="false">IF(AND(('Pro إعدادات'!$C$33="نعم"),IF($T$244=1,'Pro إعدادات'!$G$39,'Pro إعدادات'!$D$39)&gt;0),'Pro ملف الرياضي'!$H$28*IF($T$244=1,'Pro إعدادات'!$G$33,'Pro إعدادات'!$D$33)/IF($T$244=1,'Pro إعدادات'!$G$39,'Pro إعدادات'!$D$39),0)</f>
        <v>36</v>
      </c>
      <c r="L252" s="35" t="n">
        <f aca="false">IF(AND(('Pro إعدادات'!$C$33="نعم"),IF($T$244=1,'Pro إعدادات'!$H$39,'Pro إعدادات'!$E$39)&gt;0),'Pro ملف الرياضي'!$I$28*IF($T$244=1,'Pro إعدادات'!$H$33,'Pro إعدادات'!$E$33)/IF($T$244=1,'Pro إعدادات'!$H$39,'Pro إعدادات'!$E$39),0)</f>
        <v>60</v>
      </c>
      <c r="M252" s="35" t="n">
        <f aca="false">IF(AND(('Pro إعدادات'!$C$33="نعم"),IF($T$244=1,'Pro إعدادات'!$I$39,'Pro إعدادات'!$F$39)&gt;0),'Pro ملف الرياضي'!$J$28*IF($T$244=1,'Pro إعدادات'!$I$33,'Pro إعدادات'!$F$33)/IF($T$244=1,'Pro إعدادات'!$I$39,'Pro إعدادات'!$F$39),0)</f>
        <v>18</v>
      </c>
      <c r="N252" s="35" t="n">
        <f aca="false">4*K252+4*L252+9*M252</f>
        <v>546</v>
      </c>
      <c r="O252" s="21" t="n">
        <f aca="false">E252-K252</f>
        <v>-36</v>
      </c>
      <c r="P252" s="21" t="n">
        <f aca="false">F252-L252</f>
        <v>-60</v>
      </c>
      <c r="Q252" s="21" t="n">
        <f aca="false">G252-M252</f>
        <v>-18</v>
      </c>
    </row>
    <row r="253" customFormat="false" ht="15" hidden="false" customHeight="false" outlineLevel="0" collapsed="false">
      <c r="A253" s="14" t="str">
        <f aca="false">'Pro إعدادات'!A34&amp;" ("&amp;'Pro إعدادات'!B34&amp;")"</f>
        <v>سناك 1 / قبل التدريب (10:30)</v>
      </c>
      <c r="B253" s="5"/>
      <c r="C253" s="18"/>
      <c r="D253" s="19" t="str">
        <f aca="false">IF(OR($S253="",N($C253)=0),"",$C253/100*N(INDEX('Pro قاعدة الأغذية'!$F$5:$F$604,$S253)))</f>
        <v/>
      </c>
      <c r="E253" s="22" t="str">
        <f aca="false">IF(OR($S253="",N($C253)=0),"",$C253/100*N(INDEX('Pro قاعدة الأغذية'!$G$5:$G$604,$S253)))</f>
        <v/>
      </c>
      <c r="F253" s="22" t="str">
        <f aca="false">IF(OR($S253="",N($C253)=0),"",$C253/100*N(INDEX('Pro قاعدة الأغذية'!$H$5:$H$604,$S253)))</f>
        <v/>
      </c>
      <c r="G253" s="22" t="str">
        <f aca="false">IF(OR($S253="",N($C253)=0),"",$C253/100*N(INDEX('Pro قاعدة الأغذية'!$I$5:$I$604,$S253)))</f>
        <v/>
      </c>
      <c r="H253" s="22" t="str">
        <f aca="false">IF(OR($S253="",N($C253)=0),"",$C253/100*N(INDEX('Pro قاعدة الأغذية'!$J$5:$J$604,$S253)))</f>
        <v/>
      </c>
      <c r="I253" s="19" t="str">
        <f aca="false">IF(OR($S253="",N($C253)=0),"",$C253/100*N(INDEX('Pro قاعدة الأغذية'!$L$5:$L$604,$S253)))</f>
        <v/>
      </c>
      <c r="J253" s="30" t="str">
        <f aca="false">IF($S253="","",INDEX('Pro قاعدة الأغذية'!$E$5:$E$604,$S253))</f>
        <v/>
      </c>
      <c r="S253" s="31" t="str">
        <f aca="false">IF(B253="","",IFERROR(MATCH(B253,'Pro قاعدة الأغذية'!$C$5:$C$604,0),""))</f>
        <v/>
      </c>
    </row>
    <row r="254" customFormat="false" ht="15" hidden="false" customHeight="false" outlineLevel="0" collapsed="false">
      <c r="A254" s="24"/>
      <c r="B254" s="5"/>
      <c r="C254" s="18"/>
      <c r="D254" s="19" t="str">
        <f aca="false">IF(OR($S254="",N($C254)=0),"",$C254/100*N(INDEX('Pro قاعدة الأغذية'!$F$5:$F$604,$S254)))</f>
        <v/>
      </c>
      <c r="E254" s="22" t="str">
        <f aca="false">IF(OR($S254="",N($C254)=0),"",$C254/100*N(INDEX('Pro قاعدة الأغذية'!$G$5:$G$604,$S254)))</f>
        <v/>
      </c>
      <c r="F254" s="22" t="str">
        <f aca="false">IF(OR($S254="",N($C254)=0),"",$C254/100*N(INDEX('Pro قاعدة الأغذية'!$H$5:$H$604,$S254)))</f>
        <v/>
      </c>
      <c r="G254" s="22" t="str">
        <f aca="false">IF(OR($S254="",N($C254)=0),"",$C254/100*N(INDEX('Pro قاعدة الأغذية'!$I$5:$I$604,$S254)))</f>
        <v/>
      </c>
      <c r="H254" s="22" t="str">
        <f aca="false">IF(OR($S254="",N($C254)=0),"",$C254/100*N(INDEX('Pro قاعدة الأغذية'!$J$5:$J$604,$S254)))</f>
        <v/>
      </c>
      <c r="I254" s="19" t="str">
        <f aca="false">IF(OR($S254="",N($C254)=0),"",$C254/100*N(INDEX('Pro قاعدة الأغذية'!$L$5:$L$604,$S254)))</f>
        <v/>
      </c>
      <c r="J254" s="30" t="str">
        <f aca="false">IF($S254="","",INDEX('Pro قاعدة الأغذية'!$E$5:$E$604,$S254))</f>
        <v/>
      </c>
      <c r="S254" s="31" t="str">
        <f aca="false">IF(B254="","",IFERROR(MATCH(B254,'Pro قاعدة الأغذية'!$C$5:$C$604,0),""))</f>
        <v/>
      </c>
    </row>
    <row r="255" customFormat="false" ht="15" hidden="false" customHeight="false" outlineLevel="0" collapsed="false">
      <c r="A255" s="24"/>
      <c r="B255" s="5"/>
      <c r="C255" s="18"/>
      <c r="D255" s="19" t="str">
        <f aca="false">IF(OR($S255="",N($C255)=0),"",$C255/100*N(INDEX('Pro قاعدة الأغذية'!$F$5:$F$604,$S255)))</f>
        <v/>
      </c>
      <c r="E255" s="22" t="str">
        <f aca="false">IF(OR($S255="",N($C255)=0),"",$C255/100*N(INDEX('Pro قاعدة الأغذية'!$G$5:$G$604,$S255)))</f>
        <v/>
      </c>
      <c r="F255" s="22" t="str">
        <f aca="false">IF(OR($S255="",N($C255)=0),"",$C255/100*N(INDEX('Pro قاعدة الأغذية'!$H$5:$H$604,$S255)))</f>
        <v/>
      </c>
      <c r="G255" s="22" t="str">
        <f aca="false">IF(OR($S255="",N($C255)=0),"",$C255/100*N(INDEX('Pro قاعدة الأغذية'!$I$5:$I$604,$S255)))</f>
        <v/>
      </c>
      <c r="H255" s="22" t="str">
        <f aca="false">IF(OR($S255="",N($C255)=0),"",$C255/100*N(INDEX('Pro قاعدة الأغذية'!$J$5:$J$604,$S255)))</f>
        <v/>
      </c>
      <c r="I255" s="19" t="str">
        <f aca="false">IF(OR($S255="",N($C255)=0),"",$C255/100*N(INDEX('Pro قاعدة الأغذية'!$L$5:$L$604,$S255)))</f>
        <v/>
      </c>
      <c r="J255" s="30" t="str">
        <f aca="false">IF($S255="","",INDEX('Pro قاعدة الأغذية'!$E$5:$E$604,$S255))</f>
        <v/>
      </c>
      <c r="S255" s="31" t="str">
        <f aca="false">IF(B255="","",IFERROR(MATCH(B255,'Pro قاعدة الأغذية'!$C$5:$C$604,0),""))</f>
        <v/>
      </c>
    </row>
    <row r="256" customFormat="false" ht="15" hidden="false" customHeight="false" outlineLevel="0" collapsed="false">
      <c r="A256" s="24"/>
      <c r="B256" s="5"/>
      <c r="C256" s="18"/>
      <c r="D256" s="19" t="str">
        <f aca="false">IF(OR($S256="",N($C256)=0),"",$C256/100*N(INDEX('Pro قاعدة الأغذية'!$F$5:$F$604,$S256)))</f>
        <v/>
      </c>
      <c r="E256" s="22" t="str">
        <f aca="false">IF(OR($S256="",N($C256)=0),"",$C256/100*N(INDEX('Pro قاعدة الأغذية'!$G$5:$G$604,$S256)))</f>
        <v/>
      </c>
      <c r="F256" s="22" t="str">
        <f aca="false">IF(OR($S256="",N($C256)=0),"",$C256/100*N(INDEX('Pro قاعدة الأغذية'!$H$5:$H$604,$S256)))</f>
        <v/>
      </c>
      <c r="G256" s="22" t="str">
        <f aca="false">IF(OR($S256="",N($C256)=0),"",$C256/100*N(INDEX('Pro قاعدة الأغذية'!$I$5:$I$604,$S256)))</f>
        <v/>
      </c>
      <c r="H256" s="22" t="str">
        <f aca="false">IF(OR($S256="",N($C256)=0),"",$C256/100*N(INDEX('Pro قاعدة الأغذية'!$J$5:$J$604,$S256)))</f>
        <v/>
      </c>
      <c r="I256" s="19" t="str">
        <f aca="false">IF(OR($S256="",N($C256)=0),"",$C256/100*N(INDEX('Pro قاعدة الأغذية'!$L$5:$L$604,$S256)))</f>
        <v/>
      </c>
      <c r="J256" s="30" t="str">
        <f aca="false">IF($S256="","",INDEX('Pro قاعدة الأغذية'!$E$5:$E$604,$S256))</f>
        <v/>
      </c>
      <c r="S256" s="31" t="str">
        <f aca="false">IF(B256="","",IFERROR(MATCH(B256,'Pro قاعدة الأغذية'!$C$5:$C$604,0),""))</f>
        <v/>
      </c>
    </row>
    <row r="257" customFormat="false" ht="15" hidden="false" customHeight="false" outlineLevel="0" collapsed="false">
      <c r="A257" s="24"/>
      <c r="B257" s="5"/>
      <c r="C257" s="18"/>
      <c r="D257" s="19" t="str">
        <f aca="false">IF(OR($S257="",N($C257)=0),"",$C257/100*N(INDEX('Pro قاعدة الأغذية'!$F$5:$F$604,$S257)))</f>
        <v/>
      </c>
      <c r="E257" s="22" t="str">
        <f aca="false">IF(OR($S257="",N($C257)=0),"",$C257/100*N(INDEX('Pro قاعدة الأغذية'!$G$5:$G$604,$S257)))</f>
        <v/>
      </c>
      <c r="F257" s="22" t="str">
        <f aca="false">IF(OR($S257="",N($C257)=0),"",$C257/100*N(INDEX('Pro قاعدة الأغذية'!$H$5:$H$604,$S257)))</f>
        <v/>
      </c>
      <c r="G257" s="22" t="str">
        <f aca="false">IF(OR($S257="",N($C257)=0),"",$C257/100*N(INDEX('Pro قاعدة الأغذية'!$I$5:$I$604,$S257)))</f>
        <v/>
      </c>
      <c r="H257" s="22" t="str">
        <f aca="false">IF(OR($S257="",N($C257)=0),"",$C257/100*N(INDEX('Pro قاعدة الأغذية'!$J$5:$J$604,$S257)))</f>
        <v/>
      </c>
      <c r="I257" s="19" t="str">
        <f aca="false">IF(OR($S257="",N($C257)=0),"",$C257/100*N(INDEX('Pro قاعدة الأغذية'!$L$5:$L$604,$S257)))</f>
        <v/>
      </c>
      <c r="J257" s="30" t="str">
        <f aca="false">IF($S257="","",INDEX('Pro قاعدة الأغذية'!$E$5:$E$604,$S257))</f>
        <v/>
      </c>
      <c r="S257" s="31" t="str">
        <f aca="false">IF(B257="","",IFERROR(MATCH(B257,'Pro قاعدة الأغذية'!$C$5:$C$604,0),""))</f>
        <v/>
      </c>
    </row>
    <row r="258" customFormat="false" ht="15" hidden="false" customHeight="false" outlineLevel="0" collapsed="false">
      <c r="A258" s="24"/>
      <c r="B258" s="5"/>
      <c r="C258" s="18"/>
      <c r="D258" s="19" t="str">
        <f aca="false">IF(OR($S258="",N($C258)=0),"",$C258/100*N(INDEX('Pro قاعدة الأغذية'!$F$5:$F$604,$S258)))</f>
        <v/>
      </c>
      <c r="E258" s="22" t="str">
        <f aca="false">IF(OR($S258="",N($C258)=0),"",$C258/100*N(INDEX('Pro قاعدة الأغذية'!$G$5:$G$604,$S258)))</f>
        <v/>
      </c>
      <c r="F258" s="22" t="str">
        <f aca="false">IF(OR($S258="",N($C258)=0),"",$C258/100*N(INDEX('Pro قاعدة الأغذية'!$H$5:$H$604,$S258)))</f>
        <v/>
      </c>
      <c r="G258" s="22" t="str">
        <f aca="false">IF(OR($S258="",N($C258)=0),"",$C258/100*N(INDEX('Pro قاعدة الأغذية'!$I$5:$I$604,$S258)))</f>
        <v/>
      </c>
      <c r="H258" s="22" t="str">
        <f aca="false">IF(OR($S258="",N($C258)=0),"",$C258/100*N(INDEX('Pro قاعدة الأغذية'!$J$5:$J$604,$S258)))</f>
        <v/>
      </c>
      <c r="I258" s="19" t="str">
        <f aca="false">IF(OR($S258="",N($C258)=0),"",$C258/100*N(INDEX('Pro قاعدة الأغذية'!$L$5:$L$604,$S258)))</f>
        <v/>
      </c>
      <c r="J258" s="30" t="str">
        <f aca="false">IF($S258="","",INDEX('Pro قاعدة الأغذية'!$E$5:$E$604,$S258))</f>
        <v/>
      </c>
      <c r="S258" s="31" t="str">
        <f aca="false">IF(B258="","",IFERROR(MATCH(B258,'Pro قاعدة الأغذية'!$C$5:$C$604,0),""))</f>
        <v/>
      </c>
    </row>
    <row r="259" customFormat="false" ht="15" hidden="false" customHeight="false" outlineLevel="0" collapsed="false">
      <c r="A259" s="24"/>
      <c r="B259" s="32" t="s">
        <v>91</v>
      </c>
      <c r="C259" s="33" t="n">
        <f aca="false">SUM(C253:C258)</f>
        <v>0</v>
      </c>
      <c r="D259" s="33" t="n">
        <f aca="false">SUM(D253:D258)</f>
        <v>0</v>
      </c>
      <c r="E259" s="33" t="n">
        <f aca="false">SUM(E253:E258)</f>
        <v>0</v>
      </c>
      <c r="F259" s="33" t="n">
        <f aca="false">SUM(F253:F258)</f>
        <v>0</v>
      </c>
      <c r="G259" s="33" t="n">
        <f aca="false">SUM(G253:G258)</f>
        <v>0</v>
      </c>
      <c r="H259" s="34" t="n">
        <f aca="false">SUM(H253:H258)</f>
        <v>0</v>
      </c>
      <c r="I259" s="33" t="n">
        <f aca="false">SUM(I253:I258)</f>
        <v>0</v>
      </c>
      <c r="K259" s="35" t="n">
        <f aca="false">IF(AND(('Pro إعدادات'!$C$34="نعم"),IF($T$244=1,'Pro إعدادات'!$G$39,'Pro إعدادات'!$D$39)&gt;0),'Pro ملف الرياضي'!$H$28*IF($T$244=1,'Pro إعدادات'!$G$34,'Pro إعدادات'!$D$34)/IF($T$244=1,'Pro إعدادات'!$G$39,'Pro إعدادات'!$D$39),0)</f>
        <v>14.4</v>
      </c>
      <c r="L259" s="35" t="n">
        <f aca="false">IF(AND(('Pro إعدادات'!$C$34="نعم"),IF($T$244=1,'Pro إعدادات'!$H$39,'Pro إعدادات'!$E$39)&gt;0),'Pro ملف الرياضي'!$I$28*IF($T$244=1,'Pro إعدادات'!$H$34,'Pro إعدادات'!$E$34)/IF($T$244=1,'Pro إعدادات'!$H$39,'Pro إعدادات'!$E$39),0)</f>
        <v>24</v>
      </c>
      <c r="M259" s="35" t="n">
        <f aca="false">IF(AND(('Pro إعدادات'!$C$34="نعم"),IF($T$244=1,'Pro إعدادات'!$I$39,'Pro إعدادات'!$F$39)&gt;0),'Pro ملف الرياضي'!$J$28*IF($T$244=1,'Pro إعدادات'!$I$34,'Pro إعدادات'!$F$34)/IF($T$244=1,'Pro إعدادات'!$I$39,'Pro إعدادات'!$F$39),0)</f>
        <v>7.2</v>
      </c>
      <c r="N259" s="35" t="n">
        <f aca="false">4*K259+4*L259+9*M259</f>
        <v>218.4</v>
      </c>
      <c r="O259" s="21" t="n">
        <f aca="false">E259-K259</f>
        <v>-14.4</v>
      </c>
      <c r="P259" s="21" t="n">
        <f aca="false">F259-L259</f>
        <v>-24</v>
      </c>
      <c r="Q259" s="21" t="n">
        <f aca="false">G259-M259</f>
        <v>-7.2</v>
      </c>
    </row>
    <row r="260" customFormat="false" ht="15" hidden="false" customHeight="false" outlineLevel="0" collapsed="false">
      <c r="A260" s="14" t="str">
        <f aca="false">'Pro إعدادات'!A35&amp;" ("&amp;'Pro إعدادات'!B35&amp;")"</f>
        <v>الغداء (13:30)</v>
      </c>
      <c r="B260" s="5"/>
      <c r="C260" s="18"/>
      <c r="D260" s="19" t="str">
        <f aca="false">IF(OR($S260="",N($C260)=0),"",$C260/100*N(INDEX('Pro قاعدة الأغذية'!$F$5:$F$604,$S260)))</f>
        <v/>
      </c>
      <c r="E260" s="22" t="str">
        <f aca="false">IF(OR($S260="",N($C260)=0),"",$C260/100*N(INDEX('Pro قاعدة الأغذية'!$G$5:$G$604,$S260)))</f>
        <v/>
      </c>
      <c r="F260" s="22" t="str">
        <f aca="false">IF(OR($S260="",N($C260)=0),"",$C260/100*N(INDEX('Pro قاعدة الأغذية'!$H$5:$H$604,$S260)))</f>
        <v/>
      </c>
      <c r="G260" s="22" t="str">
        <f aca="false">IF(OR($S260="",N($C260)=0),"",$C260/100*N(INDEX('Pro قاعدة الأغذية'!$I$5:$I$604,$S260)))</f>
        <v/>
      </c>
      <c r="H260" s="22" t="str">
        <f aca="false">IF(OR($S260="",N($C260)=0),"",$C260/100*N(INDEX('Pro قاعدة الأغذية'!$J$5:$J$604,$S260)))</f>
        <v/>
      </c>
      <c r="I260" s="19" t="str">
        <f aca="false">IF(OR($S260="",N($C260)=0),"",$C260/100*N(INDEX('Pro قاعدة الأغذية'!$L$5:$L$604,$S260)))</f>
        <v/>
      </c>
      <c r="J260" s="30" t="str">
        <f aca="false">IF($S260="","",INDEX('Pro قاعدة الأغذية'!$E$5:$E$604,$S260))</f>
        <v/>
      </c>
      <c r="S260" s="31" t="str">
        <f aca="false">IF(B260="","",IFERROR(MATCH(B260,'Pro قاعدة الأغذية'!$C$5:$C$604,0),""))</f>
        <v/>
      </c>
    </row>
    <row r="261" customFormat="false" ht="15" hidden="false" customHeight="false" outlineLevel="0" collapsed="false">
      <c r="A261" s="24"/>
      <c r="B261" s="5"/>
      <c r="C261" s="18"/>
      <c r="D261" s="19" t="str">
        <f aca="false">IF(OR($S261="",N($C261)=0),"",$C261/100*N(INDEX('Pro قاعدة الأغذية'!$F$5:$F$604,$S261)))</f>
        <v/>
      </c>
      <c r="E261" s="22" t="str">
        <f aca="false">IF(OR($S261="",N($C261)=0),"",$C261/100*N(INDEX('Pro قاعدة الأغذية'!$G$5:$G$604,$S261)))</f>
        <v/>
      </c>
      <c r="F261" s="22" t="str">
        <f aca="false">IF(OR($S261="",N($C261)=0),"",$C261/100*N(INDEX('Pro قاعدة الأغذية'!$H$5:$H$604,$S261)))</f>
        <v/>
      </c>
      <c r="G261" s="22" t="str">
        <f aca="false">IF(OR($S261="",N($C261)=0),"",$C261/100*N(INDEX('Pro قاعدة الأغذية'!$I$5:$I$604,$S261)))</f>
        <v/>
      </c>
      <c r="H261" s="22" t="str">
        <f aca="false">IF(OR($S261="",N($C261)=0),"",$C261/100*N(INDEX('Pro قاعدة الأغذية'!$J$5:$J$604,$S261)))</f>
        <v/>
      </c>
      <c r="I261" s="19" t="str">
        <f aca="false">IF(OR($S261="",N($C261)=0),"",$C261/100*N(INDEX('Pro قاعدة الأغذية'!$L$5:$L$604,$S261)))</f>
        <v/>
      </c>
      <c r="J261" s="30" t="str">
        <f aca="false">IF($S261="","",INDEX('Pro قاعدة الأغذية'!$E$5:$E$604,$S261))</f>
        <v/>
      </c>
      <c r="S261" s="31" t="str">
        <f aca="false">IF(B261="","",IFERROR(MATCH(B261,'Pro قاعدة الأغذية'!$C$5:$C$604,0),""))</f>
        <v/>
      </c>
    </row>
    <row r="262" customFormat="false" ht="15" hidden="false" customHeight="false" outlineLevel="0" collapsed="false">
      <c r="A262" s="24"/>
      <c r="B262" s="5"/>
      <c r="C262" s="18"/>
      <c r="D262" s="19" t="str">
        <f aca="false">IF(OR($S262="",N($C262)=0),"",$C262/100*N(INDEX('Pro قاعدة الأغذية'!$F$5:$F$604,$S262)))</f>
        <v/>
      </c>
      <c r="E262" s="22" t="str">
        <f aca="false">IF(OR($S262="",N($C262)=0),"",$C262/100*N(INDEX('Pro قاعدة الأغذية'!$G$5:$G$604,$S262)))</f>
        <v/>
      </c>
      <c r="F262" s="22" t="str">
        <f aca="false">IF(OR($S262="",N($C262)=0),"",$C262/100*N(INDEX('Pro قاعدة الأغذية'!$H$5:$H$604,$S262)))</f>
        <v/>
      </c>
      <c r="G262" s="22" t="str">
        <f aca="false">IF(OR($S262="",N($C262)=0),"",$C262/100*N(INDEX('Pro قاعدة الأغذية'!$I$5:$I$604,$S262)))</f>
        <v/>
      </c>
      <c r="H262" s="22" t="str">
        <f aca="false">IF(OR($S262="",N($C262)=0),"",$C262/100*N(INDEX('Pro قاعدة الأغذية'!$J$5:$J$604,$S262)))</f>
        <v/>
      </c>
      <c r="I262" s="19" t="str">
        <f aca="false">IF(OR($S262="",N($C262)=0),"",$C262/100*N(INDEX('Pro قاعدة الأغذية'!$L$5:$L$604,$S262)))</f>
        <v/>
      </c>
      <c r="J262" s="30" t="str">
        <f aca="false">IF($S262="","",INDEX('Pro قاعدة الأغذية'!$E$5:$E$604,$S262))</f>
        <v/>
      </c>
      <c r="S262" s="31" t="str">
        <f aca="false">IF(B262="","",IFERROR(MATCH(B262,'Pro قاعدة الأغذية'!$C$5:$C$604,0),""))</f>
        <v/>
      </c>
    </row>
    <row r="263" customFormat="false" ht="15" hidden="false" customHeight="false" outlineLevel="0" collapsed="false">
      <c r="A263" s="24"/>
      <c r="B263" s="5"/>
      <c r="C263" s="18"/>
      <c r="D263" s="19" t="str">
        <f aca="false">IF(OR($S263="",N($C263)=0),"",$C263/100*N(INDEX('Pro قاعدة الأغذية'!$F$5:$F$604,$S263)))</f>
        <v/>
      </c>
      <c r="E263" s="22" t="str">
        <f aca="false">IF(OR($S263="",N($C263)=0),"",$C263/100*N(INDEX('Pro قاعدة الأغذية'!$G$5:$G$604,$S263)))</f>
        <v/>
      </c>
      <c r="F263" s="22" t="str">
        <f aca="false">IF(OR($S263="",N($C263)=0),"",$C263/100*N(INDEX('Pro قاعدة الأغذية'!$H$5:$H$604,$S263)))</f>
        <v/>
      </c>
      <c r="G263" s="22" t="str">
        <f aca="false">IF(OR($S263="",N($C263)=0),"",$C263/100*N(INDEX('Pro قاعدة الأغذية'!$I$5:$I$604,$S263)))</f>
        <v/>
      </c>
      <c r="H263" s="22" t="str">
        <f aca="false">IF(OR($S263="",N($C263)=0),"",$C263/100*N(INDEX('Pro قاعدة الأغذية'!$J$5:$J$604,$S263)))</f>
        <v/>
      </c>
      <c r="I263" s="19" t="str">
        <f aca="false">IF(OR($S263="",N($C263)=0),"",$C263/100*N(INDEX('Pro قاعدة الأغذية'!$L$5:$L$604,$S263)))</f>
        <v/>
      </c>
      <c r="J263" s="30" t="str">
        <f aca="false">IF($S263="","",INDEX('Pro قاعدة الأغذية'!$E$5:$E$604,$S263))</f>
        <v/>
      </c>
      <c r="S263" s="31" t="str">
        <f aca="false">IF(B263="","",IFERROR(MATCH(B263,'Pro قاعدة الأغذية'!$C$5:$C$604,0),""))</f>
        <v/>
      </c>
    </row>
    <row r="264" customFormat="false" ht="15" hidden="false" customHeight="false" outlineLevel="0" collapsed="false">
      <c r="A264" s="24"/>
      <c r="B264" s="5"/>
      <c r="C264" s="18"/>
      <c r="D264" s="19" t="str">
        <f aca="false">IF(OR($S264="",N($C264)=0),"",$C264/100*N(INDEX('Pro قاعدة الأغذية'!$F$5:$F$604,$S264)))</f>
        <v/>
      </c>
      <c r="E264" s="22" t="str">
        <f aca="false">IF(OR($S264="",N($C264)=0),"",$C264/100*N(INDEX('Pro قاعدة الأغذية'!$G$5:$G$604,$S264)))</f>
        <v/>
      </c>
      <c r="F264" s="22" t="str">
        <f aca="false">IF(OR($S264="",N($C264)=0),"",$C264/100*N(INDEX('Pro قاعدة الأغذية'!$H$5:$H$604,$S264)))</f>
        <v/>
      </c>
      <c r="G264" s="22" t="str">
        <f aca="false">IF(OR($S264="",N($C264)=0),"",$C264/100*N(INDEX('Pro قاعدة الأغذية'!$I$5:$I$604,$S264)))</f>
        <v/>
      </c>
      <c r="H264" s="22" t="str">
        <f aca="false">IF(OR($S264="",N($C264)=0),"",$C264/100*N(INDEX('Pro قاعدة الأغذية'!$J$5:$J$604,$S264)))</f>
        <v/>
      </c>
      <c r="I264" s="19" t="str">
        <f aca="false">IF(OR($S264="",N($C264)=0),"",$C264/100*N(INDEX('Pro قاعدة الأغذية'!$L$5:$L$604,$S264)))</f>
        <v/>
      </c>
      <c r="J264" s="30" t="str">
        <f aca="false">IF($S264="","",INDEX('Pro قاعدة الأغذية'!$E$5:$E$604,$S264))</f>
        <v/>
      </c>
      <c r="S264" s="31" t="str">
        <f aca="false">IF(B264="","",IFERROR(MATCH(B264,'Pro قاعدة الأغذية'!$C$5:$C$604,0),""))</f>
        <v/>
      </c>
    </row>
    <row r="265" customFormat="false" ht="15" hidden="false" customHeight="false" outlineLevel="0" collapsed="false">
      <c r="A265" s="24"/>
      <c r="B265" s="5"/>
      <c r="C265" s="18"/>
      <c r="D265" s="19" t="str">
        <f aca="false">IF(OR($S265="",N($C265)=0),"",$C265/100*N(INDEX('Pro قاعدة الأغذية'!$F$5:$F$604,$S265)))</f>
        <v/>
      </c>
      <c r="E265" s="22" t="str">
        <f aca="false">IF(OR($S265="",N($C265)=0),"",$C265/100*N(INDEX('Pro قاعدة الأغذية'!$G$5:$G$604,$S265)))</f>
        <v/>
      </c>
      <c r="F265" s="22" t="str">
        <f aca="false">IF(OR($S265="",N($C265)=0),"",$C265/100*N(INDEX('Pro قاعدة الأغذية'!$H$5:$H$604,$S265)))</f>
        <v/>
      </c>
      <c r="G265" s="22" t="str">
        <f aca="false">IF(OR($S265="",N($C265)=0),"",$C265/100*N(INDEX('Pro قاعدة الأغذية'!$I$5:$I$604,$S265)))</f>
        <v/>
      </c>
      <c r="H265" s="22" t="str">
        <f aca="false">IF(OR($S265="",N($C265)=0),"",$C265/100*N(INDEX('Pro قاعدة الأغذية'!$J$5:$J$604,$S265)))</f>
        <v/>
      </c>
      <c r="I265" s="19" t="str">
        <f aca="false">IF(OR($S265="",N($C265)=0),"",$C265/100*N(INDEX('Pro قاعدة الأغذية'!$L$5:$L$604,$S265)))</f>
        <v/>
      </c>
      <c r="J265" s="30" t="str">
        <f aca="false">IF($S265="","",INDEX('Pro قاعدة الأغذية'!$E$5:$E$604,$S265))</f>
        <v/>
      </c>
      <c r="S265" s="31" t="str">
        <f aca="false">IF(B265="","",IFERROR(MATCH(B265,'Pro قاعدة الأغذية'!$C$5:$C$604,0),""))</f>
        <v/>
      </c>
    </row>
    <row r="266" customFormat="false" ht="15" hidden="false" customHeight="false" outlineLevel="0" collapsed="false">
      <c r="A266" s="24"/>
      <c r="B266" s="32" t="s">
        <v>91</v>
      </c>
      <c r="C266" s="33" t="n">
        <f aca="false">SUM(C260:C265)</f>
        <v>0</v>
      </c>
      <c r="D266" s="33" t="n">
        <f aca="false">SUM(D260:D265)</f>
        <v>0</v>
      </c>
      <c r="E266" s="33" t="n">
        <f aca="false">SUM(E260:E265)</f>
        <v>0</v>
      </c>
      <c r="F266" s="33" t="n">
        <f aca="false">SUM(F260:F265)</f>
        <v>0</v>
      </c>
      <c r="G266" s="33" t="n">
        <f aca="false">SUM(G260:G265)</f>
        <v>0</v>
      </c>
      <c r="H266" s="34" t="n">
        <f aca="false">SUM(H260:H265)</f>
        <v>0</v>
      </c>
      <c r="I266" s="33" t="n">
        <f aca="false">SUM(I260:I265)</f>
        <v>0</v>
      </c>
      <c r="K266" s="35" t="n">
        <f aca="false">IF(AND(('Pro إعدادات'!$C$35="نعم"),IF($T$244=1,'Pro إعدادات'!$G$39,'Pro إعدادات'!$D$39)&gt;0),'Pro ملف الرياضي'!$H$28*IF($T$244=1,'Pro إعدادات'!$G$35,'Pro إعدادات'!$D$35)/IF($T$244=1,'Pro إعدادات'!$G$39,'Pro إعدادات'!$D$39),0)</f>
        <v>43.2</v>
      </c>
      <c r="L266" s="35" t="n">
        <f aca="false">IF(AND(('Pro إعدادات'!$C$35="نعم"),IF($T$244=1,'Pro إعدادات'!$H$39,'Pro إعدادات'!$E$39)&gt;0),'Pro ملف الرياضي'!$I$28*IF($T$244=1,'Pro إعدادات'!$H$35,'Pro إعدادات'!$E$35)/IF($T$244=1,'Pro إعدادات'!$H$39,'Pro إعدادات'!$E$39),0)</f>
        <v>72</v>
      </c>
      <c r="M266" s="35" t="n">
        <f aca="false">IF(AND(('Pro إعدادات'!$C$35="نعم"),IF($T$244=1,'Pro إعدادات'!$I$39,'Pro إعدادات'!$F$39)&gt;0),'Pro ملف الرياضي'!$J$28*IF($T$244=1,'Pro إعدادات'!$I$35,'Pro إعدادات'!$F$35)/IF($T$244=1,'Pro إعدادات'!$I$39,'Pro إعدادات'!$F$39),0)</f>
        <v>21.6</v>
      </c>
      <c r="N266" s="35" t="n">
        <f aca="false">4*K266+4*L266+9*M266</f>
        <v>655.2</v>
      </c>
      <c r="O266" s="21" t="n">
        <f aca="false">E266-K266</f>
        <v>-43.2</v>
      </c>
      <c r="P266" s="21" t="n">
        <f aca="false">F266-L266</f>
        <v>-72</v>
      </c>
      <c r="Q266" s="21" t="n">
        <f aca="false">G266-M266</f>
        <v>-21.6</v>
      </c>
    </row>
    <row r="267" customFormat="false" ht="15" hidden="false" customHeight="false" outlineLevel="0" collapsed="false">
      <c r="A267" s="14" t="str">
        <f aca="false">'Pro إعدادات'!A36&amp;" ("&amp;'Pro إعدادات'!B36&amp;")"</f>
        <v>سناك 2 / بعد التدريب (16:30)</v>
      </c>
      <c r="B267" s="5"/>
      <c r="C267" s="18"/>
      <c r="D267" s="19" t="str">
        <f aca="false">IF(OR($S267="",N($C267)=0),"",$C267/100*N(INDEX('Pro قاعدة الأغذية'!$F$5:$F$604,$S267)))</f>
        <v/>
      </c>
      <c r="E267" s="22" t="str">
        <f aca="false">IF(OR($S267="",N($C267)=0),"",$C267/100*N(INDEX('Pro قاعدة الأغذية'!$G$5:$G$604,$S267)))</f>
        <v/>
      </c>
      <c r="F267" s="22" t="str">
        <f aca="false">IF(OR($S267="",N($C267)=0),"",$C267/100*N(INDEX('Pro قاعدة الأغذية'!$H$5:$H$604,$S267)))</f>
        <v/>
      </c>
      <c r="G267" s="22" t="str">
        <f aca="false">IF(OR($S267="",N($C267)=0),"",$C267/100*N(INDEX('Pro قاعدة الأغذية'!$I$5:$I$604,$S267)))</f>
        <v/>
      </c>
      <c r="H267" s="22" t="str">
        <f aca="false">IF(OR($S267="",N($C267)=0),"",$C267/100*N(INDEX('Pro قاعدة الأغذية'!$J$5:$J$604,$S267)))</f>
        <v/>
      </c>
      <c r="I267" s="19" t="str">
        <f aca="false">IF(OR($S267="",N($C267)=0),"",$C267/100*N(INDEX('Pro قاعدة الأغذية'!$L$5:$L$604,$S267)))</f>
        <v/>
      </c>
      <c r="J267" s="30" t="str">
        <f aca="false">IF($S267="","",INDEX('Pro قاعدة الأغذية'!$E$5:$E$604,$S267))</f>
        <v/>
      </c>
      <c r="S267" s="31" t="str">
        <f aca="false">IF(B267="","",IFERROR(MATCH(B267,'Pro قاعدة الأغذية'!$C$5:$C$604,0),""))</f>
        <v/>
      </c>
    </row>
    <row r="268" customFormat="false" ht="15" hidden="false" customHeight="false" outlineLevel="0" collapsed="false">
      <c r="A268" s="24"/>
      <c r="B268" s="5"/>
      <c r="C268" s="18"/>
      <c r="D268" s="19" t="str">
        <f aca="false">IF(OR($S268="",N($C268)=0),"",$C268/100*N(INDEX('Pro قاعدة الأغذية'!$F$5:$F$604,$S268)))</f>
        <v/>
      </c>
      <c r="E268" s="22" t="str">
        <f aca="false">IF(OR($S268="",N($C268)=0),"",$C268/100*N(INDEX('Pro قاعدة الأغذية'!$G$5:$G$604,$S268)))</f>
        <v/>
      </c>
      <c r="F268" s="22" t="str">
        <f aca="false">IF(OR($S268="",N($C268)=0),"",$C268/100*N(INDEX('Pro قاعدة الأغذية'!$H$5:$H$604,$S268)))</f>
        <v/>
      </c>
      <c r="G268" s="22" t="str">
        <f aca="false">IF(OR($S268="",N($C268)=0),"",$C268/100*N(INDEX('Pro قاعدة الأغذية'!$I$5:$I$604,$S268)))</f>
        <v/>
      </c>
      <c r="H268" s="22" t="str">
        <f aca="false">IF(OR($S268="",N($C268)=0),"",$C268/100*N(INDEX('Pro قاعدة الأغذية'!$J$5:$J$604,$S268)))</f>
        <v/>
      </c>
      <c r="I268" s="19" t="str">
        <f aca="false">IF(OR($S268="",N($C268)=0),"",$C268/100*N(INDEX('Pro قاعدة الأغذية'!$L$5:$L$604,$S268)))</f>
        <v/>
      </c>
      <c r="J268" s="30" t="str">
        <f aca="false">IF($S268="","",INDEX('Pro قاعدة الأغذية'!$E$5:$E$604,$S268))</f>
        <v/>
      </c>
      <c r="S268" s="31" t="str">
        <f aca="false">IF(B268="","",IFERROR(MATCH(B268,'Pro قاعدة الأغذية'!$C$5:$C$604,0),""))</f>
        <v/>
      </c>
    </row>
    <row r="269" customFormat="false" ht="15" hidden="false" customHeight="false" outlineLevel="0" collapsed="false">
      <c r="A269" s="24"/>
      <c r="B269" s="5"/>
      <c r="C269" s="18"/>
      <c r="D269" s="19" t="str">
        <f aca="false">IF(OR($S269="",N($C269)=0),"",$C269/100*N(INDEX('Pro قاعدة الأغذية'!$F$5:$F$604,$S269)))</f>
        <v/>
      </c>
      <c r="E269" s="22" t="str">
        <f aca="false">IF(OR($S269="",N($C269)=0),"",$C269/100*N(INDEX('Pro قاعدة الأغذية'!$G$5:$G$604,$S269)))</f>
        <v/>
      </c>
      <c r="F269" s="22" t="str">
        <f aca="false">IF(OR($S269="",N($C269)=0),"",$C269/100*N(INDEX('Pro قاعدة الأغذية'!$H$5:$H$604,$S269)))</f>
        <v/>
      </c>
      <c r="G269" s="22" t="str">
        <f aca="false">IF(OR($S269="",N($C269)=0),"",$C269/100*N(INDEX('Pro قاعدة الأغذية'!$I$5:$I$604,$S269)))</f>
        <v/>
      </c>
      <c r="H269" s="22" t="str">
        <f aca="false">IF(OR($S269="",N($C269)=0),"",$C269/100*N(INDEX('Pro قاعدة الأغذية'!$J$5:$J$604,$S269)))</f>
        <v/>
      </c>
      <c r="I269" s="19" t="str">
        <f aca="false">IF(OR($S269="",N($C269)=0),"",$C269/100*N(INDEX('Pro قاعدة الأغذية'!$L$5:$L$604,$S269)))</f>
        <v/>
      </c>
      <c r="J269" s="30" t="str">
        <f aca="false">IF($S269="","",INDEX('Pro قاعدة الأغذية'!$E$5:$E$604,$S269))</f>
        <v/>
      </c>
      <c r="S269" s="31" t="str">
        <f aca="false">IF(B269="","",IFERROR(MATCH(B269,'Pro قاعدة الأغذية'!$C$5:$C$604,0),""))</f>
        <v/>
      </c>
    </row>
    <row r="270" customFormat="false" ht="15" hidden="false" customHeight="false" outlineLevel="0" collapsed="false">
      <c r="A270" s="24"/>
      <c r="B270" s="5"/>
      <c r="C270" s="18"/>
      <c r="D270" s="19" t="str">
        <f aca="false">IF(OR($S270="",N($C270)=0),"",$C270/100*N(INDEX('Pro قاعدة الأغذية'!$F$5:$F$604,$S270)))</f>
        <v/>
      </c>
      <c r="E270" s="22" t="str">
        <f aca="false">IF(OR($S270="",N($C270)=0),"",$C270/100*N(INDEX('Pro قاعدة الأغذية'!$G$5:$G$604,$S270)))</f>
        <v/>
      </c>
      <c r="F270" s="22" t="str">
        <f aca="false">IF(OR($S270="",N($C270)=0),"",$C270/100*N(INDEX('Pro قاعدة الأغذية'!$H$5:$H$604,$S270)))</f>
        <v/>
      </c>
      <c r="G270" s="22" t="str">
        <f aca="false">IF(OR($S270="",N($C270)=0),"",$C270/100*N(INDEX('Pro قاعدة الأغذية'!$I$5:$I$604,$S270)))</f>
        <v/>
      </c>
      <c r="H270" s="22" t="str">
        <f aca="false">IF(OR($S270="",N($C270)=0),"",$C270/100*N(INDEX('Pro قاعدة الأغذية'!$J$5:$J$604,$S270)))</f>
        <v/>
      </c>
      <c r="I270" s="19" t="str">
        <f aca="false">IF(OR($S270="",N($C270)=0),"",$C270/100*N(INDEX('Pro قاعدة الأغذية'!$L$5:$L$604,$S270)))</f>
        <v/>
      </c>
      <c r="J270" s="30" t="str">
        <f aca="false">IF($S270="","",INDEX('Pro قاعدة الأغذية'!$E$5:$E$604,$S270))</f>
        <v/>
      </c>
      <c r="S270" s="31" t="str">
        <f aca="false">IF(B270="","",IFERROR(MATCH(B270,'Pro قاعدة الأغذية'!$C$5:$C$604,0),""))</f>
        <v/>
      </c>
    </row>
    <row r="271" customFormat="false" ht="15" hidden="false" customHeight="false" outlineLevel="0" collapsed="false">
      <c r="A271" s="24"/>
      <c r="B271" s="5"/>
      <c r="C271" s="18"/>
      <c r="D271" s="19" t="str">
        <f aca="false">IF(OR($S271="",N($C271)=0),"",$C271/100*N(INDEX('Pro قاعدة الأغذية'!$F$5:$F$604,$S271)))</f>
        <v/>
      </c>
      <c r="E271" s="22" t="str">
        <f aca="false">IF(OR($S271="",N($C271)=0),"",$C271/100*N(INDEX('Pro قاعدة الأغذية'!$G$5:$G$604,$S271)))</f>
        <v/>
      </c>
      <c r="F271" s="22" t="str">
        <f aca="false">IF(OR($S271="",N($C271)=0),"",$C271/100*N(INDEX('Pro قاعدة الأغذية'!$H$5:$H$604,$S271)))</f>
        <v/>
      </c>
      <c r="G271" s="22" t="str">
        <f aca="false">IF(OR($S271="",N($C271)=0),"",$C271/100*N(INDEX('Pro قاعدة الأغذية'!$I$5:$I$604,$S271)))</f>
        <v/>
      </c>
      <c r="H271" s="22" t="str">
        <f aca="false">IF(OR($S271="",N($C271)=0),"",$C271/100*N(INDEX('Pro قاعدة الأغذية'!$J$5:$J$604,$S271)))</f>
        <v/>
      </c>
      <c r="I271" s="19" t="str">
        <f aca="false">IF(OR($S271="",N($C271)=0),"",$C271/100*N(INDEX('Pro قاعدة الأغذية'!$L$5:$L$604,$S271)))</f>
        <v/>
      </c>
      <c r="J271" s="30" t="str">
        <f aca="false">IF($S271="","",INDEX('Pro قاعدة الأغذية'!$E$5:$E$604,$S271))</f>
        <v/>
      </c>
      <c r="S271" s="31" t="str">
        <f aca="false">IF(B271="","",IFERROR(MATCH(B271,'Pro قاعدة الأغذية'!$C$5:$C$604,0),""))</f>
        <v/>
      </c>
    </row>
    <row r="272" customFormat="false" ht="15" hidden="false" customHeight="false" outlineLevel="0" collapsed="false">
      <c r="A272" s="24"/>
      <c r="B272" s="5"/>
      <c r="C272" s="18"/>
      <c r="D272" s="19" t="str">
        <f aca="false">IF(OR($S272="",N($C272)=0),"",$C272/100*N(INDEX('Pro قاعدة الأغذية'!$F$5:$F$604,$S272)))</f>
        <v/>
      </c>
      <c r="E272" s="22" t="str">
        <f aca="false">IF(OR($S272="",N($C272)=0),"",$C272/100*N(INDEX('Pro قاعدة الأغذية'!$G$5:$G$604,$S272)))</f>
        <v/>
      </c>
      <c r="F272" s="22" t="str">
        <f aca="false">IF(OR($S272="",N($C272)=0),"",$C272/100*N(INDEX('Pro قاعدة الأغذية'!$H$5:$H$604,$S272)))</f>
        <v/>
      </c>
      <c r="G272" s="22" t="str">
        <f aca="false">IF(OR($S272="",N($C272)=0),"",$C272/100*N(INDEX('Pro قاعدة الأغذية'!$I$5:$I$604,$S272)))</f>
        <v/>
      </c>
      <c r="H272" s="22" t="str">
        <f aca="false">IF(OR($S272="",N($C272)=0),"",$C272/100*N(INDEX('Pro قاعدة الأغذية'!$J$5:$J$604,$S272)))</f>
        <v/>
      </c>
      <c r="I272" s="19" t="str">
        <f aca="false">IF(OR($S272="",N($C272)=0),"",$C272/100*N(INDEX('Pro قاعدة الأغذية'!$L$5:$L$604,$S272)))</f>
        <v/>
      </c>
      <c r="J272" s="30" t="str">
        <f aca="false">IF($S272="","",INDEX('Pro قاعدة الأغذية'!$E$5:$E$604,$S272))</f>
        <v/>
      </c>
      <c r="S272" s="31" t="str">
        <f aca="false">IF(B272="","",IFERROR(MATCH(B272,'Pro قاعدة الأغذية'!$C$5:$C$604,0),""))</f>
        <v/>
      </c>
    </row>
    <row r="273" customFormat="false" ht="15" hidden="false" customHeight="false" outlineLevel="0" collapsed="false">
      <c r="A273" s="24"/>
      <c r="B273" s="32" t="s">
        <v>91</v>
      </c>
      <c r="C273" s="33" t="n">
        <f aca="false">SUM(C267:C272)</f>
        <v>0</v>
      </c>
      <c r="D273" s="33" t="n">
        <f aca="false">SUM(D267:D272)</f>
        <v>0</v>
      </c>
      <c r="E273" s="33" t="n">
        <f aca="false">SUM(E267:E272)</f>
        <v>0</v>
      </c>
      <c r="F273" s="33" t="n">
        <f aca="false">SUM(F267:F272)</f>
        <v>0</v>
      </c>
      <c r="G273" s="33" t="n">
        <f aca="false">SUM(G267:G272)</f>
        <v>0</v>
      </c>
      <c r="H273" s="34" t="n">
        <f aca="false">SUM(H267:H272)</f>
        <v>0</v>
      </c>
      <c r="I273" s="33" t="n">
        <f aca="false">SUM(I267:I272)</f>
        <v>0</v>
      </c>
      <c r="K273" s="35" t="n">
        <f aca="false">IF(AND(('Pro إعدادات'!$C$36="نعم"),IF($T$244=1,'Pro إعدادات'!$G$39,'Pro إعدادات'!$D$39)&gt;0),'Pro ملف الرياضي'!$H$28*IF($T$244=1,'Pro إعدادات'!$G$36,'Pro إعدادات'!$D$36)/IF($T$244=1,'Pro إعدادات'!$G$39,'Pro إعدادات'!$D$39),0)</f>
        <v>14.4</v>
      </c>
      <c r="L273" s="35" t="n">
        <f aca="false">IF(AND(('Pro إعدادات'!$C$36="نعم"),IF($T$244=1,'Pro إعدادات'!$H$39,'Pro إعدادات'!$E$39)&gt;0),'Pro ملف الرياضي'!$I$28*IF($T$244=1,'Pro إعدادات'!$H$36,'Pro إعدادات'!$E$36)/IF($T$244=1,'Pro إعدادات'!$H$39,'Pro إعدادات'!$E$39),0)</f>
        <v>24</v>
      </c>
      <c r="M273" s="35" t="n">
        <f aca="false">IF(AND(('Pro إعدادات'!$C$36="نعم"),IF($T$244=1,'Pro إعدادات'!$I$39,'Pro إعدادات'!$F$39)&gt;0),'Pro ملف الرياضي'!$J$28*IF($T$244=1,'Pro إعدادات'!$I$36,'Pro إعدادات'!$F$36)/IF($T$244=1,'Pro إعدادات'!$I$39,'Pro إعدادات'!$F$39),0)</f>
        <v>7.2</v>
      </c>
      <c r="N273" s="35" t="n">
        <f aca="false">4*K273+4*L273+9*M273</f>
        <v>218.4</v>
      </c>
      <c r="O273" s="21" t="n">
        <f aca="false">E273-K273</f>
        <v>-14.4</v>
      </c>
      <c r="P273" s="21" t="n">
        <f aca="false">F273-L273</f>
        <v>-24</v>
      </c>
      <c r="Q273" s="21" t="n">
        <f aca="false">G273-M273</f>
        <v>-7.2</v>
      </c>
    </row>
    <row r="274" customFormat="false" ht="15" hidden="false" customHeight="false" outlineLevel="0" collapsed="false">
      <c r="A274" s="14" t="str">
        <f aca="false">'Pro إعدادات'!A37&amp;" ("&amp;'Pro إعدادات'!B37&amp;")"</f>
        <v>العشاء (20:00)</v>
      </c>
      <c r="B274" s="5"/>
      <c r="C274" s="18"/>
      <c r="D274" s="19" t="str">
        <f aca="false">IF(OR($S274="",N($C274)=0),"",$C274/100*N(INDEX('Pro قاعدة الأغذية'!$F$5:$F$604,$S274)))</f>
        <v/>
      </c>
      <c r="E274" s="22" t="str">
        <f aca="false">IF(OR($S274="",N($C274)=0),"",$C274/100*N(INDEX('Pro قاعدة الأغذية'!$G$5:$G$604,$S274)))</f>
        <v/>
      </c>
      <c r="F274" s="22" t="str">
        <f aca="false">IF(OR($S274="",N($C274)=0),"",$C274/100*N(INDEX('Pro قاعدة الأغذية'!$H$5:$H$604,$S274)))</f>
        <v/>
      </c>
      <c r="G274" s="22" t="str">
        <f aca="false">IF(OR($S274="",N($C274)=0),"",$C274/100*N(INDEX('Pro قاعدة الأغذية'!$I$5:$I$604,$S274)))</f>
        <v/>
      </c>
      <c r="H274" s="22" t="str">
        <f aca="false">IF(OR($S274="",N($C274)=0),"",$C274/100*N(INDEX('Pro قاعدة الأغذية'!$J$5:$J$604,$S274)))</f>
        <v/>
      </c>
      <c r="I274" s="19" t="str">
        <f aca="false">IF(OR($S274="",N($C274)=0),"",$C274/100*N(INDEX('Pro قاعدة الأغذية'!$L$5:$L$604,$S274)))</f>
        <v/>
      </c>
      <c r="J274" s="30" t="str">
        <f aca="false">IF($S274="","",INDEX('Pro قاعدة الأغذية'!$E$5:$E$604,$S274))</f>
        <v/>
      </c>
      <c r="S274" s="31" t="str">
        <f aca="false">IF(B274="","",IFERROR(MATCH(B274,'Pro قاعدة الأغذية'!$C$5:$C$604,0),""))</f>
        <v/>
      </c>
    </row>
    <row r="275" customFormat="false" ht="15" hidden="false" customHeight="false" outlineLevel="0" collapsed="false">
      <c r="A275" s="24"/>
      <c r="B275" s="5"/>
      <c r="C275" s="18"/>
      <c r="D275" s="19" t="str">
        <f aca="false">IF(OR($S275="",N($C275)=0),"",$C275/100*N(INDEX('Pro قاعدة الأغذية'!$F$5:$F$604,$S275)))</f>
        <v/>
      </c>
      <c r="E275" s="22" t="str">
        <f aca="false">IF(OR($S275="",N($C275)=0),"",$C275/100*N(INDEX('Pro قاعدة الأغذية'!$G$5:$G$604,$S275)))</f>
        <v/>
      </c>
      <c r="F275" s="22" t="str">
        <f aca="false">IF(OR($S275="",N($C275)=0),"",$C275/100*N(INDEX('Pro قاعدة الأغذية'!$H$5:$H$604,$S275)))</f>
        <v/>
      </c>
      <c r="G275" s="22" t="str">
        <f aca="false">IF(OR($S275="",N($C275)=0),"",$C275/100*N(INDEX('Pro قاعدة الأغذية'!$I$5:$I$604,$S275)))</f>
        <v/>
      </c>
      <c r="H275" s="22" t="str">
        <f aca="false">IF(OR($S275="",N($C275)=0),"",$C275/100*N(INDEX('Pro قاعدة الأغذية'!$J$5:$J$604,$S275)))</f>
        <v/>
      </c>
      <c r="I275" s="19" t="str">
        <f aca="false">IF(OR($S275="",N($C275)=0),"",$C275/100*N(INDEX('Pro قاعدة الأغذية'!$L$5:$L$604,$S275)))</f>
        <v/>
      </c>
      <c r="J275" s="30" t="str">
        <f aca="false">IF($S275="","",INDEX('Pro قاعدة الأغذية'!$E$5:$E$604,$S275))</f>
        <v/>
      </c>
      <c r="S275" s="31" t="str">
        <f aca="false">IF(B275="","",IFERROR(MATCH(B275,'Pro قاعدة الأغذية'!$C$5:$C$604,0),""))</f>
        <v/>
      </c>
    </row>
    <row r="276" customFormat="false" ht="15" hidden="false" customHeight="false" outlineLevel="0" collapsed="false">
      <c r="A276" s="24"/>
      <c r="B276" s="5"/>
      <c r="C276" s="18"/>
      <c r="D276" s="19" t="str">
        <f aca="false">IF(OR($S276="",N($C276)=0),"",$C276/100*N(INDEX('Pro قاعدة الأغذية'!$F$5:$F$604,$S276)))</f>
        <v/>
      </c>
      <c r="E276" s="22" t="str">
        <f aca="false">IF(OR($S276="",N($C276)=0),"",$C276/100*N(INDEX('Pro قاعدة الأغذية'!$G$5:$G$604,$S276)))</f>
        <v/>
      </c>
      <c r="F276" s="22" t="str">
        <f aca="false">IF(OR($S276="",N($C276)=0),"",$C276/100*N(INDEX('Pro قاعدة الأغذية'!$H$5:$H$604,$S276)))</f>
        <v/>
      </c>
      <c r="G276" s="22" t="str">
        <f aca="false">IF(OR($S276="",N($C276)=0),"",$C276/100*N(INDEX('Pro قاعدة الأغذية'!$I$5:$I$604,$S276)))</f>
        <v/>
      </c>
      <c r="H276" s="22" t="str">
        <f aca="false">IF(OR($S276="",N($C276)=0),"",$C276/100*N(INDEX('Pro قاعدة الأغذية'!$J$5:$J$604,$S276)))</f>
        <v/>
      </c>
      <c r="I276" s="19" t="str">
        <f aca="false">IF(OR($S276="",N($C276)=0),"",$C276/100*N(INDEX('Pro قاعدة الأغذية'!$L$5:$L$604,$S276)))</f>
        <v/>
      </c>
      <c r="J276" s="30" t="str">
        <f aca="false">IF($S276="","",INDEX('Pro قاعدة الأغذية'!$E$5:$E$604,$S276))</f>
        <v/>
      </c>
      <c r="S276" s="31" t="str">
        <f aca="false">IF(B276="","",IFERROR(MATCH(B276,'Pro قاعدة الأغذية'!$C$5:$C$604,0),""))</f>
        <v/>
      </c>
    </row>
    <row r="277" customFormat="false" ht="15" hidden="false" customHeight="false" outlineLevel="0" collapsed="false">
      <c r="A277" s="24"/>
      <c r="B277" s="5"/>
      <c r="C277" s="18"/>
      <c r="D277" s="19" t="str">
        <f aca="false">IF(OR($S277="",N($C277)=0),"",$C277/100*N(INDEX('Pro قاعدة الأغذية'!$F$5:$F$604,$S277)))</f>
        <v/>
      </c>
      <c r="E277" s="22" t="str">
        <f aca="false">IF(OR($S277="",N($C277)=0),"",$C277/100*N(INDEX('Pro قاعدة الأغذية'!$G$5:$G$604,$S277)))</f>
        <v/>
      </c>
      <c r="F277" s="22" t="str">
        <f aca="false">IF(OR($S277="",N($C277)=0),"",$C277/100*N(INDEX('Pro قاعدة الأغذية'!$H$5:$H$604,$S277)))</f>
        <v/>
      </c>
      <c r="G277" s="22" t="str">
        <f aca="false">IF(OR($S277="",N($C277)=0),"",$C277/100*N(INDEX('Pro قاعدة الأغذية'!$I$5:$I$604,$S277)))</f>
        <v/>
      </c>
      <c r="H277" s="22" t="str">
        <f aca="false">IF(OR($S277="",N($C277)=0),"",$C277/100*N(INDEX('Pro قاعدة الأغذية'!$J$5:$J$604,$S277)))</f>
        <v/>
      </c>
      <c r="I277" s="19" t="str">
        <f aca="false">IF(OR($S277="",N($C277)=0),"",$C277/100*N(INDEX('Pro قاعدة الأغذية'!$L$5:$L$604,$S277)))</f>
        <v/>
      </c>
      <c r="J277" s="30" t="str">
        <f aca="false">IF($S277="","",INDEX('Pro قاعدة الأغذية'!$E$5:$E$604,$S277))</f>
        <v/>
      </c>
      <c r="S277" s="31" t="str">
        <f aca="false">IF(B277="","",IFERROR(MATCH(B277,'Pro قاعدة الأغذية'!$C$5:$C$604,0),""))</f>
        <v/>
      </c>
    </row>
    <row r="278" customFormat="false" ht="15" hidden="false" customHeight="false" outlineLevel="0" collapsed="false">
      <c r="A278" s="24"/>
      <c r="B278" s="5"/>
      <c r="C278" s="18"/>
      <c r="D278" s="19" t="str">
        <f aca="false">IF(OR($S278="",N($C278)=0),"",$C278/100*N(INDEX('Pro قاعدة الأغذية'!$F$5:$F$604,$S278)))</f>
        <v/>
      </c>
      <c r="E278" s="22" t="str">
        <f aca="false">IF(OR($S278="",N($C278)=0),"",$C278/100*N(INDEX('Pro قاعدة الأغذية'!$G$5:$G$604,$S278)))</f>
        <v/>
      </c>
      <c r="F278" s="22" t="str">
        <f aca="false">IF(OR($S278="",N($C278)=0),"",$C278/100*N(INDEX('Pro قاعدة الأغذية'!$H$5:$H$604,$S278)))</f>
        <v/>
      </c>
      <c r="G278" s="22" t="str">
        <f aca="false">IF(OR($S278="",N($C278)=0),"",$C278/100*N(INDEX('Pro قاعدة الأغذية'!$I$5:$I$604,$S278)))</f>
        <v/>
      </c>
      <c r="H278" s="22" t="str">
        <f aca="false">IF(OR($S278="",N($C278)=0),"",$C278/100*N(INDEX('Pro قاعدة الأغذية'!$J$5:$J$604,$S278)))</f>
        <v/>
      </c>
      <c r="I278" s="19" t="str">
        <f aca="false">IF(OR($S278="",N($C278)=0),"",$C278/100*N(INDEX('Pro قاعدة الأغذية'!$L$5:$L$604,$S278)))</f>
        <v/>
      </c>
      <c r="J278" s="30" t="str">
        <f aca="false">IF($S278="","",INDEX('Pro قاعدة الأغذية'!$E$5:$E$604,$S278))</f>
        <v/>
      </c>
      <c r="S278" s="31" t="str">
        <f aca="false">IF(B278="","",IFERROR(MATCH(B278,'Pro قاعدة الأغذية'!$C$5:$C$604,0),""))</f>
        <v/>
      </c>
    </row>
    <row r="279" customFormat="false" ht="15" hidden="false" customHeight="false" outlineLevel="0" collapsed="false">
      <c r="A279" s="24"/>
      <c r="B279" s="5"/>
      <c r="C279" s="18"/>
      <c r="D279" s="19" t="str">
        <f aca="false">IF(OR($S279="",N($C279)=0),"",$C279/100*N(INDEX('Pro قاعدة الأغذية'!$F$5:$F$604,$S279)))</f>
        <v/>
      </c>
      <c r="E279" s="22" t="str">
        <f aca="false">IF(OR($S279="",N($C279)=0),"",$C279/100*N(INDEX('Pro قاعدة الأغذية'!$G$5:$G$604,$S279)))</f>
        <v/>
      </c>
      <c r="F279" s="22" t="str">
        <f aca="false">IF(OR($S279="",N($C279)=0),"",$C279/100*N(INDEX('Pro قاعدة الأغذية'!$H$5:$H$604,$S279)))</f>
        <v/>
      </c>
      <c r="G279" s="22" t="str">
        <f aca="false">IF(OR($S279="",N($C279)=0),"",$C279/100*N(INDEX('Pro قاعدة الأغذية'!$I$5:$I$604,$S279)))</f>
        <v/>
      </c>
      <c r="H279" s="22" t="str">
        <f aca="false">IF(OR($S279="",N($C279)=0),"",$C279/100*N(INDEX('Pro قاعدة الأغذية'!$J$5:$J$604,$S279)))</f>
        <v/>
      </c>
      <c r="I279" s="19" t="str">
        <f aca="false">IF(OR($S279="",N($C279)=0),"",$C279/100*N(INDEX('Pro قاعدة الأغذية'!$L$5:$L$604,$S279)))</f>
        <v/>
      </c>
      <c r="J279" s="30" t="str">
        <f aca="false">IF($S279="","",INDEX('Pro قاعدة الأغذية'!$E$5:$E$604,$S279))</f>
        <v/>
      </c>
      <c r="S279" s="31" t="str">
        <f aca="false">IF(B279="","",IFERROR(MATCH(B279,'Pro قاعدة الأغذية'!$C$5:$C$604,0),""))</f>
        <v/>
      </c>
    </row>
    <row r="280" customFormat="false" ht="15" hidden="false" customHeight="false" outlineLevel="0" collapsed="false">
      <c r="A280" s="24"/>
      <c r="B280" s="32" t="s">
        <v>91</v>
      </c>
      <c r="C280" s="33" t="n">
        <f aca="false">SUM(C274:C279)</f>
        <v>0</v>
      </c>
      <c r="D280" s="33" t="n">
        <f aca="false">SUM(D274:D279)</f>
        <v>0</v>
      </c>
      <c r="E280" s="33" t="n">
        <f aca="false">SUM(E274:E279)</f>
        <v>0</v>
      </c>
      <c r="F280" s="33" t="n">
        <f aca="false">SUM(F274:F279)</f>
        <v>0</v>
      </c>
      <c r="G280" s="33" t="n">
        <f aca="false">SUM(G274:G279)</f>
        <v>0</v>
      </c>
      <c r="H280" s="34" t="n">
        <f aca="false">SUM(H274:H279)</f>
        <v>0</v>
      </c>
      <c r="I280" s="33" t="n">
        <f aca="false">SUM(I274:I279)</f>
        <v>0</v>
      </c>
      <c r="K280" s="35" t="n">
        <f aca="false">IF(AND(('Pro إعدادات'!$C$37="نعم"),IF($T$244=1,'Pro إعدادات'!$G$39,'Pro إعدادات'!$D$39)&gt;0),'Pro ملف الرياضي'!$H$28*IF($T$244=1,'Pro إعدادات'!$G$37,'Pro إعدادات'!$D$37)/IF($T$244=1,'Pro إعدادات'!$G$39,'Pro إعدادات'!$D$39),0)</f>
        <v>36</v>
      </c>
      <c r="L280" s="35" t="n">
        <f aca="false">IF(AND(('Pro إعدادات'!$C$37="نعم"),IF($T$244=1,'Pro إعدادات'!$H$39,'Pro إعدادات'!$E$39)&gt;0),'Pro ملف الرياضي'!$I$28*IF($T$244=1,'Pro إعدادات'!$H$37,'Pro إعدادات'!$E$37)/IF($T$244=1,'Pro إعدادات'!$H$39,'Pro إعدادات'!$E$39),0)</f>
        <v>60</v>
      </c>
      <c r="M280" s="35" t="n">
        <f aca="false">IF(AND(('Pro إعدادات'!$C$37="نعم"),IF($T$244=1,'Pro إعدادات'!$I$39,'Pro إعدادات'!$F$39)&gt;0),'Pro ملف الرياضي'!$J$28*IF($T$244=1,'Pro إعدادات'!$I$37,'Pro إعدادات'!$F$37)/IF($T$244=1,'Pro إعدادات'!$I$39,'Pro إعدادات'!$F$39),0)</f>
        <v>18</v>
      </c>
      <c r="N280" s="35" t="n">
        <f aca="false">4*K280+4*L280+9*M280</f>
        <v>546</v>
      </c>
      <c r="O280" s="21" t="n">
        <f aca="false">E280-K280</f>
        <v>-36</v>
      </c>
      <c r="P280" s="21" t="n">
        <f aca="false">F280-L280</f>
        <v>-60</v>
      </c>
      <c r="Q280" s="21" t="n">
        <f aca="false">G280-M280</f>
        <v>-18</v>
      </c>
    </row>
    <row r="281" customFormat="false" ht="15" hidden="false" customHeight="false" outlineLevel="0" collapsed="false">
      <c r="A281" s="14" t="str">
        <f aca="false">'Pro إعدادات'!A38&amp;" ("&amp;'Pro إعدادات'!B38&amp;")"</f>
        <v>وجبة ليلية (22:30)</v>
      </c>
      <c r="B281" s="5"/>
      <c r="C281" s="18"/>
      <c r="D281" s="19" t="str">
        <f aca="false">IF(OR($S281="",N($C281)=0),"",$C281/100*N(INDEX('Pro قاعدة الأغذية'!$F$5:$F$604,$S281)))</f>
        <v/>
      </c>
      <c r="E281" s="22" t="str">
        <f aca="false">IF(OR($S281="",N($C281)=0),"",$C281/100*N(INDEX('Pro قاعدة الأغذية'!$G$5:$G$604,$S281)))</f>
        <v/>
      </c>
      <c r="F281" s="22" t="str">
        <f aca="false">IF(OR($S281="",N($C281)=0),"",$C281/100*N(INDEX('Pro قاعدة الأغذية'!$H$5:$H$604,$S281)))</f>
        <v/>
      </c>
      <c r="G281" s="22" t="str">
        <f aca="false">IF(OR($S281="",N($C281)=0),"",$C281/100*N(INDEX('Pro قاعدة الأغذية'!$I$5:$I$604,$S281)))</f>
        <v/>
      </c>
      <c r="H281" s="22" t="str">
        <f aca="false">IF(OR($S281="",N($C281)=0),"",$C281/100*N(INDEX('Pro قاعدة الأغذية'!$J$5:$J$604,$S281)))</f>
        <v/>
      </c>
      <c r="I281" s="19" t="str">
        <f aca="false">IF(OR($S281="",N($C281)=0),"",$C281/100*N(INDEX('Pro قاعدة الأغذية'!$L$5:$L$604,$S281)))</f>
        <v/>
      </c>
      <c r="J281" s="30" t="str">
        <f aca="false">IF($S281="","",INDEX('Pro قاعدة الأغذية'!$E$5:$E$604,$S281))</f>
        <v/>
      </c>
      <c r="S281" s="31" t="str">
        <f aca="false">IF(B281="","",IFERROR(MATCH(B281,'Pro قاعدة الأغذية'!$C$5:$C$604,0),""))</f>
        <v/>
      </c>
    </row>
    <row r="282" customFormat="false" ht="15" hidden="false" customHeight="false" outlineLevel="0" collapsed="false">
      <c r="A282" s="24"/>
      <c r="B282" s="5"/>
      <c r="C282" s="18"/>
      <c r="D282" s="19" t="str">
        <f aca="false">IF(OR($S282="",N($C282)=0),"",$C282/100*N(INDEX('Pro قاعدة الأغذية'!$F$5:$F$604,$S282)))</f>
        <v/>
      </c>
      <c r="E282" s="22" t="str">
        <f aca="false">IF(OR($S282="",N($C282)=0),"",$C282/100*N(INDEX('Pro قاعدة الأغذية'!$G$5:$G$604,$S282)))</f>
        <v/>
      </c>
      <c r="F282" s="22" t="str">
        <f aca="false">IF(OR($S282="",N($C282)=0),"",$C282/100*N(INDEX('Pro قاعدة الأغذية'!$H$5:$H$604,$S282)))</f>
        <v/>
      </c>
      <c r="G282" s="22" t="str">
        <f aca="false">IF(OR($S282="",N($C282)=0),"",$C282/100*N(INDEX('Pro قاعدة الأغذية'!$I$5:$I$604,$S282)))</f>
        <v/>
      </c>
      <c r="H282" s="22" t="str">
        <f aca="false">IF(OR($S282="",N($C282)=0),"",$C282/100*N(INDEX('Pro قاعدة الأغذية'!$J$5:$J$604,$S282)))</f>
        <v/>
      </c>
      <c r="I282" s="19" t="str">
        <f aca="false">IF(OR($S282="",N($C282)=0),"",$C282/100*N(INDEX('Pro قاعدة الأغذية'!$L$5:$L$604,$S282)))</f>
        <v/>
      </c>
      <c r="J282" s="30" t="str">
        <f aca="false">IF($S282="","",INDEX('Pro قاعدة الأغذية'!$E$5:$E$604,$S282))</f>
        <v/>
      </c>
      <c r="S282" s="31" t="str">
        <f aca="false">IF(B282="","",IFERROR(MATCH(B282,'Pro قاعدة الأغذية'!$C$5:$C$604,0),""))</f>
        <v/>
      </c>
    </row>
    <row r="283" customFormat="false" ht="15" hidden="false" customHeight="false" outlineLevel="0" collapsed="false">
      <c r="A283" s="24"/>
      <c r="B283" s="5"/>
      <c r="C283" s="18"/>
      <c r="D283" s="19" t="str">
        <f aca="false">IF(OR($S283="",N($C283)=0),"",$C283/100*N(INDEX('Pro قاعدة الأغذية'!$F$5:$F$604,$S283)))</f>
        <v/>
      </c>
      <c r="E283" s="22" t="str">
        <f aca="false">IF(OR($S283="",N($C283)=0),"",$C283/100*N(INDEX('Pro قاعدة الأغذية'!$G$5:$G$604,$S283)))</f>
        <v/>
      </c>
      <c r="F283" s="22" t="str">
        <f aca="false">IF(OR($S283="",N($C283)=0),"",$C283/100*N(INDEX('Pro قاعدة الأغذية'!$H$5:$H$604,$S283)))</f>
        <v/>
      </c>
      <c r="G283" s="22" t="str">
        <f aca="false">IF(OR($S283="",N($C283)=0),"",$C283/100*N(INDEX('Pro قاعدة الأغذية'!$I$5:$I$604,$S283)))</f>
        <v/>
      </c>
      <c r="H283" s="22" t="str">
        <f aca="false">IF(OR($S283="",N($C283)=0),"",$C283/100*N(INDEX('Pro قاعدة الأغذية'!$J$5:$J$604,$S283)))</f>
        <v/>
      </c>
      <c r="I283" s="19" t="str">
        <f aca="false">IF(OR($S283="",N($C283)=0),"",$C283/100*N(INDEX('Pro قاعدة الأغذية'!$L$5:$L$604,$S283)))</f>
        <v/>
      </c>
      <c r="J283" s="30" t="str">
        <f aca="false">IF($S283="","",INDEX('Pro قاعدة الأغذية'!$E$5:$E$604,$S283))</f>
        <v/>
      </c>
      <c r="S283" s="31" t="str">
        <f aca="false">IF(B283="","",IFERROR(MATCH(B283,'Pro قاعدة الأغذية'!$C$5:$C$604,0),""))</f>
        <v/>
      </c>
    </row>
    <row r="284" customFormat="false" ht="15" hidden="false" customHeight="false" outlineLevel="0" collapsed="false">
      <c r="A284" s="24"/>
      <c r="B284" s="5"/>
      <c r="C284" s="18"/>
      <c r="D284" s="19" t="str">
        <f aca="false">IF(OR($S284="",N($C284)=0),"",$C284/100*N(INDEX('Pro قاعدة الأغذية'!$F$5:$F$604,$S284)))</f>
        <v/>
      </c>
      <c r="E284" s="22" t="str">
        <f aca="false">IF(OR($S284="",N($C284)=0),"",$C284/100*N(INDEX('Pro قاعدة الأغذية'!$G$5:$G$604,$S284)))</f>
        <v/>
      </c>
      <c r="F284" s="22" t="str">
        <f aca="false">IF(OR($S284="",N($C284)=0),"",$C284/100*N(INDEX('Pro قاعدة الأغذية'!$H$5:$H$604,$S284)))</f>
        <v/>
      </c>
      <c r="G284" s="22" t="str">
        <f aca="false">IF(OR($S284="",N($C284)=0),"",$C284/100*N(INDEX('Pro قاعدة الأغذية'!$I$5:$I$604,$S284)))</f>
        <v/>
      </c>
      <c r="H284" s="22" t="str">
        <f aca="false">IF(OR($S284="",N($C284)=0),"",$C284/100*N(INDEX('Pro قاعدة الأغذية'!$J$5:$J$604,$S284)))</f>
        <v/>
      </c>
      <c r="I284" s="19" t="str">
        <f aca="false">IF(OR($S284="",N($C284)=0),"",$C284/100*N(INDEX('Pro قاعدة الأغذية'!$L$5:$L$604,$S284)))</f>
        <v/>
      </c>
      <c r="J284" s="30" t="str">
        <f aca="false">IF($S284="","",INDEX('Pro قاعدة الأغذية'!$E$5:$E$604,$S284))</f>
        <v/>
      </c>
      <c r="S284" s="31" t="str">
        <f aca="false">IF(B284="","",IFERROR(MATCH(B284,'Pro قاعدة الأغذية'!$C$5:$C$604,0),""))</f>
        <v/>
      </c>
    </row>
    <row r="285" customFormat="false" ht="15" hidden="false" customHeight="false" outlineLevel="0" collapsed="false">
      <c r="A285" s="24"/>
      <c r="B285" s="5"/>
      <c r="C285" s="18"/>
      <c r="D285" s="19" t="str">
        <f aca="false">IF(OR($S285="",N($C285)=0),"",$C285/100*N(INDEX('Pro قاعدة الأغذية'!$F$5:$F$604,$S285)))</f>
        <v/>
      </c>
      <c r="E285" s="22" t="str">
        <f aca="false">IF(OR($S285="",N($C285)=0),"",$C285/100*N(INDEX('Pro قاعدة الأغذية'!$G$5:$G$604,$S285)))</f>
        <v/>
      </c>
      <c r="F285" s="22" t="str">
        <f aca="false">IF(OR($S285="",N($C285)=0),"",$C285/100*N(INDEX('Pro قاعدة الأغذية'!$H$5:$H$604,$S285)))</f>
        <v/>
      </c>
      <c r="G285" s="22" t="str">
        <f aca="false">IF(OR($S285="",N($C285)=0),"",$C285/100*N(INDEX('Pro قاعدة الأغذية'!$I$5:$I$604,$S285)))</f>
        <v/>
      </c>
      <c r="H285" s="22" t="str">
        <f aca="false">IF(OR($S285="",N($C285)=0),"",$C285/100*N(INDEX('Pro قاعدة الأغذية'!$J$5:$J$604,$S285)))</f>
        <v/>
      </c>
      <c r="I285" s="19" t="str">
        <f aca="false">IF(OR($S285="",N($C285)=0),"",$C285/100*N(INDEX('Pro قاعدة الأغذية'!$L$5:$L$604,$S285)))</f>
        <v/>
      </c>
      <c r="J285" s="30" t="str">
        <f aca="false">IF($S285="","",INDEX('Pro قاعدة الأغذية'!$E$5:$E$604,$S285))</f>
        <v/>
      </c>
      <c r="S285" s="31" t="str">
        <f aca="false">IF(B285="","",IFERROR(MATCH(B285,'Pro قاعدة الأغذية'!$C$5:$C$604,0),""))</f>
        <v/>
      </c>
    </row>
    <row r="286" customFormat="false" ht="15" hidden="false" customHeight="false" outlineLevel="0" collapsed="false">
      <c r="A286" s="24"/>
      <c r="B286" s="5"/>
      <c r="C286" s="18"/>
      <c r="D286" s="19" t="str">
        <f aca="false">IF(OR($S286="",N($C286)=0),"",$C286/100*N(INDEX('Pro قاعدة الأغذية'!$F$5:$F$604,$S286)))</f>
        <v/>
      </c>
      <c r="E286" s="22" t="str">
        <f aca="false">IF(OR($S286="",N($C286)=0),"",$C286/100*N(INDEX('Pro قاعدة الأغذية'!$G$5:$G$604,$S286)))</f>
        <v/>
      </c>
      <c r="F286" s="22" t="str">
        <f aca="false">IF(OR($S286="",N($C286)=0),"",$C286/100*N(INDEX('Pro قاعدة الأغذية'!$H$5:$H$604,$S286)))</f>
        <v/>
      </c>
      <c r="G286" s="22" t="str">
        <f aca="false">IF(OR($S286="",N($C286)=0),"",$C286/100*N(INDEX('Pro قاعدة الأغذية'!$I$5:$I$604,$S286)))</f>
        <v/>
      </c>
      <c r="H286" s="22" t="str">
        <f aca="false">IF(OR($S286="",N($C286)=0),"",$C286/100*N(INDEX('Pro قاعدة الأغذية'!$J$5:$J$604,$S286)))</f>
        <v/>
      </c>
      <c r="I286" s="19" t="str">
        <f aca="false">IF(OR($S286="",N($C286)=0),"",$C286/100*N(INDEX('Pro قاعدة الأغذية'!$L$5:$L$604,$S286)))</f>
        <v/>
      </c>
      <c r="J286" s="30" t="str">
        <f aca="false">IF($S286="","",INDEX('Pro قاعدة الأغذية'!$E$5:$E$604,$S286))</f>
        <v/>
      </c>
      <c r="S286" s="31" t="str">
        <f aca="false">IF(B286="","",IFERROR(MATCH(B286,'Pro قاعدة الأغذية'!$C$5:$C$604,0),""))</f>
        <v/>
      </c>
    </row>
    <row r="287" customFormat="false" ht="15" hidden="false" customHeight="false" outlineLevel="0" collapsed="false">
      <c r="A287" s="24"/>
      <c r="B287" s="32" t="s">
        <v>91</v>
      </c>
      <c r="C287" s="33" t="n">
        <f aca="false">SUM(C281:C286)</f>
        <v>0</v>
      </c>
      <c r="D287" s="33" t="n">
        <f aca="false">SUM(D281:D286)</f>
        <v>0</v>
      </c>
      <c r="E287" s="33" t="n">
        <f aca="false">SUM(E281:E286)</f>
        <v>0</v>
      </c>
      <c r="F287" s="33" t="n">
        <f aca="false">SUM(F281:F286)</f>
        <v>0</v>
      </c>
      <c r="G287" s="33" t="n">
        <f aca="false">SUM(G281:G286)</f>
        <v>0</v>
      </c>
      <c r="H287" s="34" t="n">
        <f aca="false">SUM(H281:H286)</f>
        <v>0</v>
      </c>
      <c r="I287" s="33" t="n">
        <f aca="false">SUM(I281:I286)</f>
        <v>0</v>
      </c>
      <c r="K287" s="35" t="n">
        <f aca="false">IF(AND(('Pro إعدادات'!$C$38="نعم"),IF($T$244=1,'Pro إعدادات'!$G$39,'Pro إعدادات'!$D$39)&gt;0),'Pro ملف الرياضي'!$H$28*IF($T$244=1,'Pro إعدادات'!$G$38,'Pro إعدادات'!$D$38)/IF($T$244=1,'Pro إعدادات'!$G$39,'Pro إعدادات'!$D$39),0)</f>
        <v>0</v>
      </c>
      <c r="L287" s="35" t="n">
        <f aca="false">IF(AND(('Pro إعدادات'!$C$38="نعم"),IF($T$244=1,'Pro إعدادات'!$H$39,'Pro إعدادات'!$E$39)&gt;0),'Pro ملف الرياضي'!$I$28*IF($T$244=1,'Pro إعدادات'!$H$38,'Pro إعدادات'!$E$38)/IF($T$244=1,'Pro إعدادات'!$H$39,'Pro إعدادات'!$E$39),0)</f>
        <v>0</v>
      </c>
      <c r="M287" s="35" t="n">
        <f aca="false">IF(AND(('Pro إعدادات'!$C$38="نعم"),IF($T$244=1,'Pro إعدادات'!$I$39,'Pro إعدادات'!$F$39)&gt;0),'Pro ملف الرياضي'!$J$28*IF($T$244=1,'Pro إعدادات'!$I$38,'Pro إعدادات'!$F$38)/IF($T$244=1,'Pro إعدادات'!$I$39,'Pro إعدادات'!$F$39),0)</f>
        <v>0</v>
      </c>
      <c r="N287" s="35" t="n">
        <f aca="false">4*K287+4*L287+9*M287</f>
        <v>0</v>
      </c>
      <c r="O287" s="21" t="n">
        <f aca="false">E287-K287</f>
        <v>0</v>
      </c>
      <c r="P287" s="21" t="n">
        <f aca="false">F287-L287</f>
        <v>0</v>
      </c>
      <c r="Q287" s="21" t="n">
        <f aca="false">G287-M287</f>
        <v>0</v>
      </c>
    </row>
    <row r="288" customFormat="false" ht="17.35" hidden="false" customHeight="false" outlineLevel="0" collapsed="false">
      <c r="B288" s="36" t="s">
        <v>103</v>
      </c>
      <c r="C288" s="33" t="n">
        <f aca="false">C252+C259+C266+C273+C280+C287</f>
        <v>0</v>
      </c>
      <c r="D288" s="35" t="n">
        <f aca="false">D252+D259+D266+D273+D280+D287</f>
        <v>0</v>
      </c>
      <c r="E288" s="35" t="n">
        <f aca="false">E252+E259+E266+E273+E280+E287</f>
        <v>0</v>
      </c>
      <c r="F288" s="35" t="n">
        <f aca="false">F252+F259+F266+F273+F280+F287</f>
        <v>0</v>
      </c>
      <c r="G288" s="35" t="n">
        <f aca="false">G252+G259+G266+G273+G280+G287</f>
        <v>0</v>
      </c>
      <c r="H288" s="37" t="n">
        <f aca="false">H252+H259+H266+H273+H280+H287</f>
        <v>0</v>
      </c>
      <c r="I288" s="35" t="n">
        <f aca="false">I252+I259+I266+I273+I280+I287</f>
        <v>0</v>
      </c>
      <c r="K288" s="35" t="n">
        <f aca="false">K252+K259+K266+K273+K280+K287</f>
        <v>144</v>
      </c>
      <c r="L288" s="35" t="n">
        <f aca="false">L252+L259+L266+L273+L280+L287</f>
        <v>240</v>
      </c>
      <c r="M288" s="35" t="n">
        <f aca="false">M252+M259+M266+M273+M280+M287</f>
        <v>72</v>
      </c>
      <c r="N288" s="35" t="n">
        <f aca="false">N252+N259+N266+N273+N280+N287</f>
        <v>2184</v>
      </c>
    </row>
    <row r="289" customFormat="false" ht="15" hidden="false" customHeight="false" outlineLevel="0" collapsed="false">
      <c r="B289" s="32" t="s">
        <v>104</v>
      </c>
      <c r="D289" s="21" t="n">
        <f aca="false">D288-'Pro ملف الرياضي'!G28</f>
        <v>-2310.75</v>
      </c>
      <c r="E289" s="21" t="n">
        <f aca="false">E288-'Pro ملف الرياضي'!H28</f>
        <v>-144</v>
      </c>
      <c r="F289" s="21" t="n">
        <f aca="false">F288-'Pro ملف الرياضي'!I28</f>
        <v>-240</v>
      </c>
      <c r="G289" s="21" t="n">
        <f aca="false">G288-'Pro ملف الرياضي'!J28</f>
        <v>-72</v>
      </c>
    </row>
    <row r="290" customFormat="false" ht="15" hidden="false" customHeight="false" outlineLevel="0" collapsed="false">
      <c r="B290" s="32" t="s">
        <v>80</v>
      </c>
      <c r="D290" s="38" t="str">
        <f aca="false">IF(AND(ABS(E289)&lt;='Pro إعدادات'!$B$28*2,ABS(F289)&lt;='Pro إعدادات'!$B$28*3,ABS(G289)&lt;='Pro إعدادات'!$B$28*2),"✔ ضمن السماحية","◐ راجع الفروقات")</f>
        <v>◐ راجع الفروقات</v>
      </c>
    </row>
    <row r="292" customFormat="false" ht="17.35" hidden="false" customHeight="false" outlineLevel="0" collapsed="false">
      <c r="A292" s="28" t="str">
        <f aca="false">"السبت — "&amp;'Pro ملف الرياضي'!B29&amp;"  |  الهدف: "&amp;ROUND('Pro ملف الرياضي'!G29,0)&amp;" kcal  •  بروتين "&amp;ROUND('Pro ملف الرياضي'!H29,0)&amp;" جم  •  كارب "&amp;ROUND('Pro ملف الرياضي'!I29,0)&amp;" جم  •  دهون "&amp;ROUND('Pro ملف الرياضي'!J29,0)&amp;" جم"</f>
        <v>السبت — تدريب خفيف  |  الهدف: 2536 kcal  •  بروتين 144 جم  •  كارب 320 جم  •  دهون 72 جم</v>
      </c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T292" s="29" t="n">
        <f aca="false">IF(INDEX('Pro إعدادات'!$D$14:$D$19,MATCH('Pro ملف الرياضي'!B29,'Pro إعدادات'!$A$14:$A$19,0))="نعم",1,0)</f>
        <v>1</v>
      </c>
    </row>
    <row r="293" customFormat="false" ht="15" hidden="false" customHeight="false" outlineLevel="0" collapsed="false">
      <c r="A293" s="15" t="s">
        <v>74</v>
      </c>
      <c r="B293" s="15" t="s">
        <v>75</v>
      </c>
      <c r="C293" s="15" t="s">
        <v>76</v>
      </c>
      <c r="D293" s="15" t="s">
        <v>77</v>
      </c>
      <c r="E293" s="15" t="s">
        <v>38</v>
      </c>
      <c r="F293" s="15" t="s">
        <v>39</v>
      </c>
      <c r="G293" s="15" t="s">
        <v>40</v>
      </c>
      <c r="H293" s="15" t="s">
        <v>78</v>
      </c>
      <c r="I293" s="15" t="s">
        <v>79</v>
      </c>
      <c r="J293" s="15" t="s">
        <v>80</v>
      </c>
      <c r="K293" s="15" t="s">
        <v>81</v>
      </c>
      <c r="L293" s="15" t="s">
        <v>82</v>
      </c>
      <c r="M293" s="15" t="s">
        <v>83</v>
      </c>
      <c r="N293" s="15" t="s">
        <v>84</v>
      </c>
      <c r="O293" s="15" t="s">
        <v>85</v>
      </c>
      <c r="P293" s="15" t="s">
        <v>86</v>
      </c>
      <c r="Q293" s="15" t="s">
        <v>87</v>
      </c>
    </row>
    <row r="294" customFormat="false" ht="15" hidden="false" customHeight="false" outlineLevel="0" collapsed="false">
      <c r="A294" s="14" t="str">
        <f aca="false">'Pro إعدادات'!A33&amp;" ("&amp;'Pro إعدادات'!B33&amp;")"</f>
        <v>الإفطار (07:30)</v>
      </c>
      <c r="B294" s="5"/>
      <c r="C294" s="18"/>
      <c r="D294" s="19" t="str">
        <f aca="false">IF(OR($S294="",N($C294)=0),"",$C294/100*N(INDEX('Pro قاعدة الأغذية'!$F$5:$F$604,$S294)))</f>
        <v/>
      </c>
      <c r="E294" s="22" t="str">
        <f aca="false">IF(OR($S294="",N($C294)=0),"",$C294/100*N(INDEX('Pro قاعدة الأغذية'!$G$5:$G$604,$S294)))</f>
        <v/>
      </c>
      <c r="F294" s="22" t="str">
        <f aca="false">IF(OR($S294="",N($C294)=0),"",$C294/100*N(INDEX('Pro قاعدة الأغذية'!$H$5:$H$604,$S294)))</f>
        <v/>
      </c>
      <c r="G294" s="22" t="str">
        <f aca="false">IF(OR($S294="",N($C294)=0),"",$C294/100*N(INDEX('Pro قاعدة الأغذية'!$I$5:$I$604,$S294)))</f>
        <v/>
      </c>
      <c r="H294" s="22" t="str">
        <f aca="false">IF(OR($S294="",N($C294)=0),"",$C294/100*N(INDEX('Pro قاعدة الأغذية'!$J$5:$J$604,$S294)))</f>
        <v/>
      </c>
      <c r="I294" s="19" t="str">
        <f aca="false">IF(OR($S294="",N($C294)=0),"",$C294/100*N(INDEX('Pro قاعدة الأغذية'!$L$5:$L$604,$S294)))</f>
        <v/>
      </c>
      <c r="J294" s="30" t="str">
        <f aca="false">IF($S294="","",INDEX('Pro قاعدة الأغذية'!$E$5:$E$604,$S294))</f>
        <v/>
      </c>
      <c r="S294" s="31" t="str">
        <f aca="false">IF(B294="","",IFERROR(MATCH(B294,'Pro قاعدة الأغذية'!$C$5:$C$604,0),""))</f>
        <v/>
      </c>
    </row>
    <row r="295" customFormat="false" ht="15" hidden="false" customHeight="false" outlineLevel="0" collapsed="false">
      <c r="A295" s="24"/>
      <c r="B295" s="5"/>
      <c r="C295" s="18"/>
      <c r="D295" s="19" t="str">
        <f aca="false">IF(OR($S295="",N($C295)=0),"",$C295/100*N(INDEX('Pro قاعدة الأغذية'!$F$5:$F$604,$S295)))</f>
        <v/>
      </c>
      <c r="E295" s="22" t="str">
        <f aca="false">IF(OR($S295="",N($C295)=0),"",$C295/100*N(INDEX('Pro قاعدة الأغذية'!$G$5:$G$604,$S295)))</f>
        <v/>
      </c>
      <c r="F295" s="22" t="str">
        <f aca="false">IF(OR($S295="",N($C295)=0),"",$C295/100*N(INDEX('Pro قاعدة الأغذية'!$H$5:$H$604,$S295)))</f>
        <v/>
      </c>
      <c r="G295" s="22" t="str">
        <f aca="false">IF(OR($S295="",N($C295)=0),"",$C295/100*N(INDEX('Pro قاعدة الأغذية'!$I$5:$I$604,$S295)))</f>
        <v/>
      </c>
      <c r="H295" s="22" t="str">
        <f aca="false">IF(OR($S295="",N($C295)=0),"",$C295/100*N(INDEX('Pro قاعدة الأغذية'!$J$5:$J$604,$S295)))</f>
        <v/>
      </c>
      <c r="I295" s="19" t="str">
        <f aca="false">IF(OR($S295="",N($C295)=0),"",$C295/100*N(INDEX('Pro قاعدة الأغذية'!$L$5:$L$604,$S295)))</f>
        <v/>
      </c>
      <c r="J295" s="30" t="str">
        <f aca="false">IF($S295="","",INDEX('Pro قاعدة الأغذية'!$E$5:$E$604,$S295))</f>
        <v/>
      </c>
      <c r="S295" s="31" t="str">
        <f aca="false">IF(B295="","",IFERROR(MATCH(B295,'Pro قاعدة الأغذية'!$C$5:$C$604,0),""))</f>
        <v/>
      </c>
    </row>
    <row r="296" customFormat="false" ht="15" hidden="false" customHeight="false" outlineLevel="0" collapsed="false">
      <c r="A296" s="24"/>
      <c r="B296" s="5"/>
      <c r="C296" s="18"/>
      <c r="D296" s="19" t="str">
        <f aca="false">IF(OR($S296="",N($C296)=0),"",$C296/100*N(INDEX('Pro قاعدة الأغذية'!$F$5:$F$604,$S296)))</f>
        <v/>
      </c>
      <c r="E296" s="22" t="str">
        <f aca="false">IF(OR($S296="",N($C296)=0),"",$C296/100*N(INDEX('Pro قاعدة الأغذية'!$G$5:$G$604,$S296)))</f>
        <v/>
      </c>
      <c r="F296" s="22" t="str">
        <f aca="false">IF(OR($S296="",N($C296)=0),"",$C296/100*N(INDEX('Pro قاعدة الأغذية'!$H$5:$H$604,$S296)))</f>
        <v/>
      </c>
      <c r="G296" s="22" t="str">
        <f aca="false">IF(OR($S296="",N($C296)=0),"",$C296/100*N(INDEX('Pro قاعدة الأغذية'!$I$5:$I$604,$S296)))</f>
        <v/>
      </c>
      <c r="H296" s="22" t="str">
        <f aca="false">IF(OR($S296="",N($C296)=0),"",$C296/100*N(INDEX('Pro قاعدة الأغذية'!$J$5:$J$604,$S296)))</f>
        <v/>
      </c>
      <c r="I296" s="19" t="str">
        <f aca="false">IF(OR($S296="",N($C296)=0),"",$C296/100*N(INDEX('Pro قاعدة الأغذية'!$L$5:$L$604,$S296)))</f>
        <v/>
      </c>
      <c r="J296" s="30" t="str">
        <f aca="false">IF($S296="","",INDEX('Pro قاعدة الأغذية'!$E$5:$E$604,$S296))</f>
        <v/>
      </c>
      <c r="S296" s="31" t="str">
        <f aca="false">IF(B296="","",IFERROR(MATCH(B296,'Pro قاعدة الأغذية'!$C$5:$C$604,0),""))</f>
        <v/>
      </c>
    </row>
    <row r="297" customFormat="false" ht="15" hidden="false" customHeight="false" outlineLevel="0" collapsed="false">
      <c r="A297" s="24"/>
      <c r="B297" s="5"/>
      <c r="C297" s="18"/>
      <c r="D297" s="19" t="str">
        <f aca="false">IF(OR($S297="",N($C297)=0),"",$C297/100*N(INDEX('Pro قاعدة الأغذية'!$F$5:$F$604,$S297)))</f>
        <v/>
      </c>
      <c r="E297" s="22" t="str">
        <f aca="false">IF(OR($S297="",N($C297)=0),"",$C297/100*N(INDEX('Pro قاعدة الأغذية'!$G$5:$G$604,$S297)))</f>
        <v/>
      </c>
      <c r="F297" s="22" t="str">
        <f aca="false">IF(OR($S297="",N($C297)=0),"",$C297/100*N(INDEX('Pro قاعدة الأغذية'!$H$5:$H$604,$S297)))</f>
        <v/>
      </c>
      <c r="G297" s="22" t="str">
        <f aca="false">IF(OR($S297="",N($C297)=0),"",$C297/100*N(INDEX('Pro قاعدة الأغذية'!$I$5:$I$604,$S297)))</f>
        <v/>
      </c>
      <c r="H297" s="22" t="str">
        <f aca="false">IF(OR($S297="",N($C297)=0),"",$C297/100*N(INDEX('Pro قاعدة الأغذية'!$J$5:$J$604,$S297)))</f>
        <v/>
      </c>
      <c r="I297" s="19" t="str">
        <f aca="false">IF(OR($S297="",N($C297)=0),"",$C297/100*N(INDEX('Pro قاعدة الأغذية'!$L$5:$L$604,$S297)))</f>
        <v/>
      </c>
      <c r="J297" s="30" t="str">
        <f aca="false">IF($S297="","",INDEX('Pro قاعدة الأغذية'!$E$5:$E$604,$S297))</f>
        <v/>
      </c>
      <c r="S297" s="31" t="str">
        <f aca="false">IF(B297="","",IFERROR(MATCH(B297,'Pro قاعدة الأغذية'!$C$5:$C$604,0),""))</f>
        <v/>
      </c>
    </row>
    <row r="298" customFormat="false" ht="15" hidden="false" customHeight="false" outlineLevel="0" collapsed="false">
      <c r="A298" s="24"/>
      <c r="B298" s="5"/>
      <c r="C298" s="18"/>
      <c r="D298" s="19" t="str">
        <f aca="false">IF(OR($S298="",N($C298)=0),"",$C298/100*N(INDEX('Pro قاعدة الأغذية'!$F$5:$F$604,$S298)))</f>
        <v/>
      </c>
      <c r="E298" s="22" t="str">
        <f aca="false">IF(OR($S298="",N($C298)=0),"",$C298/100*N(INDEX('Pro قاعدة الأغذية'!$G$5:$G$604,$S298)))</f>
        <v/>
      </c>
      <c r="F298" s="22" t="str">
        <f aca="false">IF(OR($S298="",N($C298)=0),"",$C298/100*N(INDEX('Pro قاعدة الأغذية'!$H$5:$H$604,$S298)))</f>
        <v/>
      </c>
      <c r="G298" s="22" t="str">
        <f aca="false">IF(OR($S298="",N($C298)=0),"",$C298/100*N(INDEX('Pro قاعدة الأغذية'!$I$5:$I$604,$S298)))</f>
        <v/>
      </c>
      <c r="H298" s="22" t="str">
        <f aca="false">IF(OR($S298="",N($C298)=0),"",$C298/100*N(INDEX('Pro قاعدة الأغذية'!$J$5:$J$604,$S298)))</f>
        <v/>
      </c>
      <c r="I298" s="19" t="str">
        <f aca="false">IF(OR($S298="",N($C298)=0),"",$C298/100*N(INDEX('Pro قاعدة الأغذية'!$L$5:$L$604,$S298)))</f>
        <v/>
      </c>
      <c r="J298" s="30" t="str">
        <f aca="false">IF($S298="","",INDEX('Pro قاعدة الأغذية'!$E$5:$E$604,$S298))</f>
        <v/>
      </c>
      <c r="S298" s="31" t="str">
        <f aca="false">IF(B298="","",IFERROR(MATCH(B298,'Pro قاعدة الأغذية'!$C$5:$C$604,0),""))</f>
        <v/>
      </c>
    </row>
    <row r="299" customFormat="false" ht="15" hidden="false" customHeight="false" outlineLevel="0" collapsed="false">
      <c r="A299" s="24"/>
      <c r="B299" s="5"/>
      <c r="C299" s="18"/>
      <c r="D299" s="19" t="str">
        <f aca="false">IF(OR($S299="",N($C299)=0),"",$C299/100*N(INDEX('Pro قاعدة الأغذية'!$F$5:$F$604,$S299)))</f>
        <v/>
      </c>
      <c r="E299" s="22" t="str">
        <f aca="false">IF(OR($S299="",N($C299)=0),"",$C299/100*N(INDEX('Pro قاعدة الأغذية'!$G$5:$G$604,$S299)))</f>
        <v/>
      </c>
      <c r="F299" s="22" t="str">
        <f aca="false">IF(OR($S299="",N($C299)=0),"",$C299/100*N(INDEX('Pro قاعدة الأغذية'!$H$5:$H$604,$S299)))</f>
        <v/>
      </c>
      <c r="G299" s="22" t="str">
        <f aca="false">IF(OR($S299="",N($C299)=0),"",$C299/100*N(INDEX('Pro قاعدة الأغذية'!$I$5:$I$604,$S299)))</f>
        <v/>
      </c>
      <c r="H299" s="22" t="str">
        <f aca="false">IF(OR($S299="",N($C299)=0),"",$C299/100*N(INDEX('Pro قاعدة الأغذية'!$J$5:$J$604,$S299)))</f>
        <v/>
      </c>
      <c r="I299" s="19" t="str">
        <f aca="false">IF(OR($S299="",N($C299)=0),"",$C299/100*N(INDEX('Pro قاعدة الأغذية'!$L$5:$L$604,$S299)))</f>
        <v/>
      </c>
      <c r="J299" s="30" t="str">
        <f aca="false">IF($S299="","",INDEX('Pro قاعدة الأغذية'!$E$5:$E$604,$S299))</f>
        <v/>
      </c>
      <c r="S299" s="31" t="str">
        <f aca="false">IF(B299="","",IFERROR(MATCH(B299,'Pro قاعدة الأغذية'!$C$5:$C$604,0),""))</f>
        <v/>
      </c>
    </row>
    <row r="300" customFormat="false" ht="15" hidden="false" customHeight="false" outlineLevel="0" collapsed="false">
      <c r="A300" s="24"/>
      <c r="B300" s="32" t="s">
        <v>91</v>
      </c>
      <c r="C300" s="33" t="n">
        <f aca="false">SUM(C294:C299)</f>
        <v>0</v>
      </c>
      <c r="D300" s="33" t="n">
        <f aca="false">SUM(D294:D299)</f>
        <v>0</v>
      </c>
      <c r="E300" s="33" t="n">
        <f aca="false">SUM(E294:E299)</f>
        <v>0</v>
      </c>
      <c r="F300" s="33" t="n">
        <f aca="false">SUM(F294:F299)</f>
        <v>0</v>
      </c>
      <c r="G300" s="33" t="n">
        <f aca="false">SUM(G294:G299)</f>
        <v>0</v>
      </c>
      <c r="H300" s="34" t="n">
        <f aca="false">SUM(H294:H299)</f>
        <v>0</v>
      </c>
      <c r="I300" s="33" t="n">
        <f aca="false">SUM(I294:I299)</f>
        <v>0</v>
      </c>
      <c r="K300" s="35" t="n">
        <f aca="false">IF(AND(('Pro إعدادات'!$C$33="نعم"),IF($T$292=1,'Pro إعدادات'!$G$39,'Pro إعدادات'!$D$39)&gt;0),'Pro ملف الرياضي'!$H$29*IF($T$292=1,'Pro إعدادات'!$G$33,'Pro إعدادات'!$D$33)/IF($T$292=1,'Pro إعدادات'!$G$39,'Pro إعدادات'!$D$39),0)</f>
        <v>28.8</v>
      </c>
      <c r="L300" s="35" t="n">
        <f aca="false">IF(AND(('Pro إعدادات'!$C$33="نعم"),IF($T$292=1,'Pro إعدادات'!$H$39,'Pro إعدادات'!$E$39)&gt;0),'Pro ملف الرياضي'!$I$29*IF($T$292=1,'Pro إعدادات'!$H$33,'Pro إعدادات'!$E$33)/IF($T$292=1,'Pro إعدادات'!$H$39,'Pro إعدادات'!$E$39),0)</f>
        <v>64</v>
      </c>
      <c r="M300" s="35" t="n">
        <f aca="false">IF(AND(('Pro إعدادات'!$C$33="نعم"),IF($T$292=1,'Pro إعدادات'!$I$39,'Pro إعدادات'!$F$39)&gt;0),'Pro ملف الرياضي'!$J$29*IF($T$292=1,'Pro إعدادات'!$I$33,'Pro إعدادات'!$F$33)/IF($T$292=1,'Pro إعدادات'!$I$39,'Pro إعدادات'!$F$39),0)</f>
        <v>18</v>
      </c>
      <c r="N300" s="35" t="n">
        <f aca="false">4*K300+4*L300+9*M300</f>
        <v>533.2</v>
      </c>
      <c r="O300" s="21" t="n">
        <f aca="false">E300-K300</f>
        <v>-28.8</v>
      </c>
      <c r="P300" s="21" t="n">
        <f aca="false">F300-L300</f>
        <v>-64</v>
      </c>
      <c r="Q300" s="21" t="n">
        <f aca="false">G300-M300</f>
        <v>-18</v>
      </c>
    </row>
    <row r="301" customFormat="false" ht="15" hidden="false" customHeight="false" outlineLevel="0" collapsed="false">
      <c r="A301" s="14" t="str">
        <f aca="false">'Pro إعدادات'!A34&amp;" ("&amp;'Pro إعدادات'!B34&amp;")"</f>
        <v>سناك 1 / قبل التدريب (10:30)</v>
      </c>
      <c r="B301" s="5"/>
      <c r="C301" s="18"/>
      <c r="D301" s="19" t="str">
        <f aca="false">IF(OR($S301="",N($C301)=0),"",$C301/100*N(INDEX('Pro قاعدة الأغذية'!$F$5:$F$604,$S301)))</f>
        <v/>
      </c>
      <c r="E301" s="22" t="str">
        <f aca="false">IF(OR($S301="",N($C301)=0),"",$C301/100*N(INDEX('Pro قاعدة الأغذية'!$G$5:$G$604,$S301)))</f>
        <v/>
      </c>
      <c r="F301" s="22" t="str">
        <f aca="false">IF(OR($S301="",N($C301)=0),"",$C301/100*N(INDEX('Pro قاعدة الأغذية'!$H$5:$H$604,$S301)))</f>
        <v/>
      </c>
      <c r="G301" s="22" t="str">
        <f aca="false">IF(OR($S301="",N($C301)=0),"",$C301/100*N(INDEX('Pro قاعدة الأغذية'!$I$5:$I$604,$S301)))</f>
        <v/>
      </c>
      <c r="H301" s="22" t="str">
        <f aca="false">IF(OR($S301="",N($C301)=0),"",$C301/100*N(INDEX('Pro قاعدة الأغذية'!$J$5:$J$604,$S301)))</f>
        <v/>
      </c>
      <c r="I301" s="19" t="str">
        <f aca="false">IF(OR($S301="",N($C301)=0),"",$C301/100*N(INDEX('Pro قاعدة الأغذية'!$L$5:$L$604,$S301)))</f>
        <v/>
      </c>
      <c r="J301" s="30" t="str">
        <f aca="false">IF($S301="","",INDEX('Pro قاعدة الأغذية'!$E$5:$E$604,$S301))</f>
        <v/>
      </c>
      <c r="S301" s="31" t="str">
        <f aca="false">IF(B301="","",IFERROR(MATCH(B301,'Pro قاعدة الأغذية'!$C$5:$C$604,0),""))</f>
        <v/>
      </c>
    </row>
    <row r="302" customFormat="false" ht="15" hidden="false" customHeight="false" outlineLevel="0" collapsed="false">
      <c r="A302" s="24"/>
      <c r="B302" s="5"/>
      <c r="C302" s="18"/>
      <c r="D302" s="19" t="str">
        <f aca="false">IF(OR($S302="",N($C302)=0),"",$C302/100*N(INDEX('Pro قاعدة الأغذية'!$F$5:$F$604,$S302)))</f>
        <v/>
      </c>
      <c r="E302" s="22" t="str">
        <f aca="false">IF(OR($S302="",N($C302)=0),"",$C302/100*N(INDEX('Pro قاعدة الأغذية'!$G$5:$G$604,$S302)))</f>
        <v/>
      </c>
      <c r="F302" s="22" t="str">
        <f aca="false">IF(OR($S302="",N($C302)=0),"",$C302/100*N(INDEX('Pro قاعدة الأغذية'!$H$5:$H$604,$S302)))</f>
        <v/>
      </c>
      <c r="G302" s="22" t="str">
        <f aca="false">IF(OR($S302="",N($C302)=0),"",$C302/100*N(INDEX('Pro قاعدة الأغذية'!$I$5:$I$604,$S302)))</f>
        <v/>
      </c>
      <c r="H302" s="22" t="str">
        <f aca="false">IF(OR($S302="",N($C302)=0),"",$C302/100*N(INDEX('Pro قاعدة الأغذية'!$J$5:$J$604,$S302)))</f>
        <v/>
      </c>
      <c r="I302" s="19" t="str">
        <f aca="false">IF(OR($S302="",N($C302)=0),"",$C302/100*N(INDEX('Pro قاعدة الأغذية'!$L$5:$L$604,$S302)))</f>
        <v/>
      </c>
      <c r="J302" s="30" t="str">
        <f aca="false">IF($S302="","",INDEX('Pro قاعدة الأغذية'!$E$5:$E$604,$S302))</f>
        <v/>
      </c>
      <c r="S302" s="31" t="str">
        <f aca="false">IF(B302="","",IFERROR(MATCH(B302,'Pro قاعدة الأغذية'!$C$5:$C$604,0),""))</f>
        <v/>
      </c>
    </row>
    <row r="303" customFormat="false" ht="15" hidden="false" customHeight="false" outlineLevel="0" collapsed="false">
      <c r="A303" s="24"/>
      <c r="B303" s="5"/>
      <c r="C303" s="18"/>
      <c r="D303" s="19" t="str">
        <f aca="false">IF(OR($S303="",N($C303)=0),"",$C303/100*N(INDEX('Pro قاعدة الأغذية'!$F$5:$F$604,$S303)))</f>
        <v/>
      </c>
      <c r="E303" s="22" t="str">
        <f aca="false">IF(OR($S303="",N($C303)=0),"",$C303/100*N(INDEX('Pro قاعدة الأغذية'!$G$5:$G$604,$S303)))</f>
        <v/>
      </c>
      <c r="F303" s="22" t="str">
        <f aca="false">IF(OR($S303="",N($C303)=0),"",$C303/100*N(INDEX('Pro قاعدة الأغذية'!$H$5:$H$604,$S303)))</f>
        <v/>
      </c>
      <c r="G303" s="22" t="str">
        <f aca="false">IF(OR($S303="",N($C303)=0),"",$C303/100*N(INDEX('Pro قاعدة الأغذية'!$I$5:$I$604,$S303)))</f>
        <v/>
      </c>
      <c r="H303" s="22" t="str">
        <f aca="false">IF(OR($S303="",N($C303)=0),"",$C303/100*N(INDEX('Pro قاعدة الأغذية'!$J$5:$J$604,$S303)))</f>
        <v/>
      </c>
      <c r="I303" s="19" t="str">
        <f aca="false">IF(OR($S303="",N($C303)=0),"",$C303/100*N(INDEX('Pro قاعدة الأغذية'!$L$5:$L$604,$S303)))</f>
        <v/>
      </c>
      <c r="J303" s="30" t="str">
        <f aca="false">IF($S303="","",INDEX('Pro قاعدة الأغذية'!$E$5:$E$604,$S303))</f>
        <v/>
      </c>
      <c r="S303" s="31" t="str">
        <f aca="false">IF(B303="","",IFERROR(MATCH(B303,'Pro قاعدة الأغذية'!$C$5:$C$604,0),""))</f>
        <v/>
      </c>
    </row>
    <row r="304" customFormat="false" ht="15" hidden="false" customHeight="false" outlineLevel="0" collapsed="false">
      <c r="A304" s="24"/>
      <c r="B304" s="5"/>
      <c r="C304" s="18"/>
      <c r="D304" s="19" t="str">
        <f aca="false">IF(OR($S304="",N($C304)=0),"",$C304/100*N(INDEX('Pro قاعدة الأغذية'!$F$5:$F$604,$S304)))</f>
        <v/>
      </c>
      <c r="E304" s="22" t="str">
        <f aca="false">IF(OR($S304="",N($C304)=0),"",$C304/100*N(INDEX('Pro قاعدة الأغذية'!$G$5:$G$604,$S304)))</f>
        <v/>
      </c>
      <c r="F304" s="22" t="str">
        <f aca="false">IF(OR($S304="",N($C304)=0),"",$C304/100*N(INDEX('Pro قاعدة الأغذية'!$H$5:$H$604,$S304)))</f>
        <v/>
      </c>
      <c r="G304" s="22" t="str">
        <f aca="false">IF(OR($S304="",N($C304)=0),"",$C304/100*N(INDEX('Pro قاعدة الأغذية'!$I$5:$I$604,$S304)))</f>
        <v/>
      </c>
      <c r="H304" s="22" t="str">
        <f aca="false">IF(OR($S304="",N($C304)=0),"",$C304/100*N(INDEX('Pro قاعدة الأغذية'!$J$5:$J$604,$S304)))</f>
        <v/>
      </c>
      <c r="I304" s="19" t="str">
        <f aca="false">IF(OR($S304="",N($C304)=0),"",$C304/100*N(INDEX('Pro قاعدة الأغذية'!$L$5:$L$604,$S304)))</f>
        <v/>
      </c>
      <c r="J304" s="30" t="str">
        <f aca="false">IF($S304="","",INDEX('Pro قاعدة الأغذية'!$E$5:$E$604,$S304))</f>
        <v/>
      </c>
      <c r="S304" s="31" t="str">
        <f aca="false">IF(B304="","",IFERROR(MATCH(B304,'Pro قاعدة الأغذية'!$C$5:$C$604,0),""))</f>
        <v/>
      </c>
    </row>
    <row r="305" customFormat="false" ht="15" hidden="false" customHeight="false" outlineLevel="0" collapsed="false">
      <c r="A305" s="24"/>
      <c r="B305" s="5"/>
      <c r="C305" s="18"/>
      <c r="D305" s="19" t="str">
        <f aca="false">IF(OR($S305="",N($C305)=0),"",$C305/100*N(INDEX('Pro قاعدة الأغذية'!$F$5:$F$604,$S305)))</f>
        <v/>
      </c>
      <c r="E305" s="22" t="str">
        <f aca="false">IF(OR($S305="",N($C305)=0),"",$C305/100*N(INDEX('Pro قاعدة الأغذية'!$G$5:$G$604,$S305)))</f>
        <v/>
      </c>
      <c r="F305" s="22" t="str">
        <f aca="false">IF(OR($S305="",N($C305)=0),"",$C305/100*N(INDEX('Pro قاعدة الأغذية'!$H$5:$H$604,$S305)))</f>
        <v/>
      </c>
      <c r="G305" s="22" t="str">
        <f aca="false">IF(OR($S305="",N($C305)=0),"",$C305/100*N(INDEX('Pro قاعدة الأغذية'!$I$5:$I$604,$S305)))</f>
        <v/>
      </c>
      <c r="H305" s="22" t="str">
        <f aca="false">IF(OR($S305="",N($C305)=0),"",$C305/100*N(INDEX('Pro قاعدة الأغذية'!$J$5:$J$604,$S305)))</f>
        <v/>
      </c>
      <c r="I305" s="19" t="str">
        <f aca="false">IF(OR($S305="",N($C305)=0),"",$C305/100*N(INDEX('Pro قاعدة الأغذية'!$L$5:$L$604,$S305)))</f>
        <v/>
      </c>
      <c r="J305" s="30" t="str">
        <f aca="false">IF($S305="","",INDEX('Pro قاعدة الأغذية'!$E$5:$E$604,$S305))</f>
        <v/>
      </c>
      <c r="S305" s="31" t="str">
        <f aca="false">IF(B305="","",IFERROR(MATCH(B305,'Pro قاعدة الأغذية'!$C$5:$C$604,0),""))</f>
        <v/>
      </c>
    </row>
    <row r="306" customFormat="false" ht="15" hidden="false" customHeight="false" outlineLevel="0" collapsed="false">
      <c r="A306" s="24"/>
      <c r="B306" s="5"/>
      <c r="C306" s="18"/>
      <c r="D306" s="19" t="str">
        <f aca="false">IF(OR($S306="",N($C306)=0),"",$C306/100*N(INDEX('Pro قاعدة الأغذية'!$F$5:$F$604,$S306)))</f>
        <v/>
      </c>
      <c r="E306" s="22" t="str">
        <f aca="false">IF(OR($S306="",N($C306)=0),"",$C306/100*N(INDEX('Pro قاعدة الأغذية'!$G$5:$G$604,$S306)))</f>
        <v/>
      </c>
      <c r="F306" s="22" t="str">
        <f aca="false">IF(OR($S306="",N($C306)=0),"",$C306/100*N(INDEX('Pro قاعدة الأغذية'!$H$5:$H$604,$S306)))</f>
        <v/>
      </c>
      <c r="G306" s="22" t="str">
        <f aca="false">IF(OR($S306="",N($C306)=0),"",$C306/100*N(INDEX('Pro قاعدة الأغذية'!$I$5:$I$604,$S306)))</f>
        <v/>
      </c>
      <c r="H306" s="22" t="str">
        <f aca="false">IF(OR($S306="",N($C306)=0),"",$C306/100*N(INDEX('Pro قاعدة الأغذية'!$J$5:$J$604,$S306)))</f>
        <v/>
      </c>
      <c r="I306" s="19" t="str">
        <f aca="false">IF(OR($S306="",N($C306)=0),"",$C306/100*N(INDEX('Pro قاعدة الأغذية'!$L$5:$L$604,$S306)))</f>
        <v/>
      </c>
      <c r="J306" s="30" t="str">
        <f aca="false">IF($S306="","",INDEX('Pro قاعدة الأغذية'!$E$5:$E$604,$S306))</f>
        <v/>
      </c>
      <c r="S306" s="31" t="str">
        <f aca="false">IF(B306="","",IFERROR(MATCH(B306,'Pro قاعدة الأغذية'!$C$5:$C$604,0),""))</f>
        <v/>
      </c>
    </row>
    <row r="307" customFormat="false" ht="15" hidden="false" customHeight="false" outlineLevel="0" collapsed="false">
      <c r="A307" s="24"/>
      <c r="B307" s="32" t="s">
        <v>91</v>
      </c>
      <c r="C307" s="33" t="n">
        <f aca="false">SUM(C301:C306)</f>
        <v>0</v>
      </c>
      <c r="D307" s="33" t="n">
        <f aca="false">SUM(D301:D306)</f>
        <v>0</v>
      </c>
      <c r="E307" s="33" t="n">
        <f aca="false">SUM(E301:E306)</f>
        <v>0</v>
      </c>
      <c r="F307" s="33" t="n">
        <f aca="false">SUM(F301:F306)</f>
        <v>0</v>
      </c>
      <c r="G307" s="33" t="n">
        <f aca="false">SUM(G301:G306)</f>
        <v>0</v>
      </c>
      <c r="H307" s="34" t="n">
        <f aca="false">SUM(H301:H306)</f>
        <v>0</v>
      </c>
      <c r="I307" s="33" t="n">
        <f aca="false">SUM(I301:I306)</f>
        <v>0</v>
      </c>
      <c r="K307" s="35" t="n">
        <f aca="false">IF(AND(('Pro إعدادات'!$C$34="نعم"),IF($T$292=1,'Pro إعدادات'!$G$39,'Pro إعدادات'!$D$39)&gt;0),'Pro ملف الرياضي'!$H$29*IF($T$292=1,'Pro إعدادات'!$G$34,'Pro إعدادات'!$D$34)/IF($T$292=1,'Pro إعدادات'!$G$39,'Pro إعدادات'!$D$39),0)</f>
        <v>14.4</v>
      </c>
      <c r="L307" s="35" t="n">
        <f aca="false">IF(AND(('Pro إعدادات'!$C$34="نعم"),IF($T$292=1,'Pro إعدادات'!$H$39,'Pro إعدادات'!$E$39)&gt;0),'Pro ملف الرياضي'!$I$29*IF($T$292=1,'Pro إعدادات'!$H$34,'Pro إعدادات'!$E$34)/IF($T$292=1,'Pro إعدادات'!$H$39,'Pro إعدادات'!$E$39),0)</f>
        <v>48</v>
      </c>
      <c r="M307" s="35" t="n">
        <f aca="false">IF(AND(('Pro إعدادات'!$C$34="نعم"),IF($T$292=1,'Pro إعدادات'!$I$39,'Pro إعدادات'!$F$39)&gt;0),'Pro ملف الرياضي'!$J$29*IF($T$292=1,'Pro إعدادات'!$I$34,'Pro إعدادات'!$F$34)/IF($T$292=1,'Pro إعدادات'!$I$39,'Pro إعدادات'!$F$39),0)</f>
        <v>3.6</v>
      </c>
      <c r="N307" s="35" t="n">
        <f aca="false">4*K307+4*L307+9*M307</f>
        <v>282</v>
      </c>
      <c r="O307" s="21" t="n">
        <f aca="false">E307-K307</f>
        <v>-14.4</v>
      </c>
      <c r="P307" s="21" t="n">
        <f aca="false">F307-L307</f>
        <v>-48</v>
      </c>
      <c r="Q307" s="21" t="n">
        <f aca="false">G307-M307</f>
        <v>-3.6</v>
      </c>
    </row>
    <row r="308" customFormat="false" ht="15" hidden="false" customHeight="false" outlineLevel="0" collapsed="false">
      <c r="A308" s="14" t="str">
        <f aca="false">'Pro إعدادات'!A35&amp;" ("&amp;'Pro إعدادات'!B35&amp;")"</f>
        <v>الغداء (13:30)</v>
      </c>
      <c r="B308" s="5"/>
      <c r="C308" s="18"/>
      <c r="D308" s="19" t="str">
        <f aca="false">IF(OR($S308="",N($C308)=0),"",$C308/100*N(INDEX('Pro قاعدة الأغذية'!$F$5:$F$604,$S308)))</f>
        <v/>
      </c>
      <c r="E308" s="22" t="str">
        <f aca="false">IF(OR($S308="",N($C308)=0),"",$C308/100*N(INDEX('Pro قاعدة الأغذية'!$G$5:$G$604,$S308)))</f>
        <v/>
      </c>
      <c r="F308" s="22" t="str">
        <f aca="false">IF(OR($S308="",N($C308)=0),"",$C308/100*N(INDEX('Pro قاعدة الأغذية'!$H$5:$H$604,$S308)))</f>
        <v/>
      </c>
      <c r="G308" s="22" t="str">
        <f aca="false">IF(OR($S308="",N($C308)=0),"",$C308/100*N(INDEX('Pro قاعدة الأغذية'!$I$5:$I$604,$S308)))</f>
        <v/>
      </c>
      <c r="H308" s="22" t="str">
        <f aca="false">IF(OR($S308="",N($C308)=0),"",$C308/100*N(INDEX('Pro قاعدة الأغذية'!$J$5:$J$604,$S308)))</f>
        <v/>
      </c>
      <c r="I308" s="19" t="str">
        <f aca="false">IF(OR($S308="",N($C308)=0),"",$C308/100*N(INDEX('Pro قاعدة الأغذية'!$L$5:$L$604,$S308)))</f>
        <v/>
      </c>
      <c r="J308" s="30" t="str">
        <f aca="false">IF($S308="","",INDEX('Pro قاعدة الأغذية'!$E$5:$E$604,$S308))</f>
        <v/>
      </c>
      <c r="S308" s="31" t="str">
        <f aca="false">IF(B308="","",IFERROR(MATCH(B308,'Pro قاعدة الأغذية'!$C$5:$C$604,0),""))</f>
        <v/>
      </c>
    </row>
    <row r="309" customFormat="false" ht="15" hidden="false" customHeight="false" outlineLevel="0" collapsed="false">
      <c r="A309" s="24"/>
      <c r="B309" s="5"/>
      <c r="C309" s="18"/>
      <c r="D309" s="19" t="str">
        <f aca="false">IF(OR($S309="",N($C309)=0),"",$C309/100*N(INDEX('Pro قاعدة الأغذية'!$F$5:$F$604,$S309)))</f>
        <v/>
      </c>
      <c r="E309" s="22" t="str">
        <f aca="false">IF(OR($S309="",N($C309)=0),"",$C309/100*N(INDEX('Pro قاعدة الأغذية'!$G$5:$G$604,$S309)))</f>
        <v/>
      </c>
      <c r="F309" s="22" t="str">
        <f aca="false">IF(OR($S309="",N($C309)=0),"",$C309/100*N(INDEX('Pro قاعدة الأغذية'!$H$5:$H$604,$S309)))</f>
        <v/>
      </c>
      <c r="G309" s="22" t="str">
        <f aca="false">IF(OR($S309="",N($C309)=0),"",$C309/100*N(INDEX('Pro قاعدة الأغذية'!$I$5:$I$604,$S309)))</f>
        <v/>
      </c>
      <c r="H309" s="22" t="str">
        <f aca="false">IF(OR($S309="",N($C309)=0),"",$C309/100*N(INDEX('Pro قاعدة الأغذية'!$J$5:$J$604,$S309)))</f>
        <v/>
      </c>
      <c r="I309" s="19" t="str">
        <f aca="false">IF(OR($S309="",N($C309)=0),"",$C309/100*N(INDEX('Pro قاعدة الأغذية'!$L$5:$L$604,$S309)))</f>
        <v/>
      </c>
      <c r="J309" s="30" t="str">
        <f aca="false">IF($S309="","",INDEX('Pro قاعدة الأغذية'!$E$5:$E$604,$S309))</f>
        <v/>
      </c>
      <c r="S309" s="31" t="str">
        <f aca="false">IF(B309="","",IFERROR(MATCH(B309,'Pro قاعدة الأغذية'!$C$5:$C$604,0),""))</f>
        <v/>
      </c>
    </row>
    <row r="310" customFormat="false" ht="15" hidden="false" customHeight="false" outlineLevel="0" collapsed="false">
      <c r="A310" s="24"/>
      <c r="B310" s="5"/>
      <c r="C310" s="18"/>
      <c r="D310" s="19" t="str">
        <f aca="false">IF(OR($S310="",N($C310)=0),"",$C310/100*N(INDEX('Pro قاعدة الأغذية'!$F$5:$F$604,$S310)))</f>
        <v/>
      </c>
      <c r="E310" s="22" t="str">
        <f aca="false">IF(OR($S310="",N($C310)=0),"",$C310/100*N(INDEX('Pro قاعدة الأغذية'!$G$5:$G$604,$S310)))</f>
        <v/>
      </c>
      <c r="F310" s="22" t="str">
        <f aca="false">IF(OR($S310="",N($C310)=0),"",$C310/100*N(INDEX('Pro قاعدة الأغذية'!$H$5:$H$604,$S310)))</f>
        <v/>
      </c>
      <c r="G310" s="22" t="str">
        <f aca="false">IF(OR($S310="",N($C310)=0),"",$C310/100*N(INDEX('Pro قاعدة الأغذية'!$I$5:$I$604,$S310)))</f>
        <v/>
      </c>
      <c r="H310" s="22" t="str">
        <f aca="false">IF(OR($S310="",N($C310)=0),"",$C310/100*N(INDEX('Pro قاعدة الأغذية'!$J$5:$J$604,$S310)))</f>
        <v/>
      </c>
      <c r="I310" s="19" t="str">
        <f aca="false">IF(OR($S310="",N($C310)=0),"",$C310/100*N(INDEX('Pro قاعدة الأغذية'!$L$5:$L$604,$S310)))</f>
        <v/>
      </c>
      <c r="J310" s="30" t="str">
        <f aca="false">IF($S310="","",INDEX('Pro قاعدة الأغذية'!$E$5:$E$604,$S310))</f>
        <v/>
      </c>
      <c r="S310" s="31" t="str">
        <f aca="false">IF(B310="","",IFERROR(MATCH(B310,'Pro قاعدة الأغذية'!$C$5:$C$604,0),""))</f>
        <v/>
      </c>
    </row>
    <row r="311" customFormat="false" ht="15" hidden="false" customHeight="false" outlineLevel="0" collapsed="false">
      <c r="A311" s="24"/>
      <c r="B311" s="5"/>
      <c r="C311" s="18"/>
      <c r="D311" s="19" t="str">
        <f aca="false">IF(OR($S311="",N($C311)=0),"",$C311/100*N(INDEX('Pro قاعدة الأغذية'!$F$5:$F$604,$S311)))</f>
        <v/>
      </c>
      <c r="E311" s="22" t="str">
        <f aca="false">IF(OR($S311="",N($C311)=0),"",$C311/100*N(INDEX('Pro قاعدة الأغذية'!$G$5:$G$604,$S311)))</f>
        <v/>
      </c>
      <c r="F311" s="22" t="str">
        <f aca="false">IF(OR($S311="",N($C311)=0),"",$C311/100*N(INDEX('Pro قاعدة الأغذية'!$H$5:$H$604,$S311)))</f>
        <v/>
      </c>
      <c r="G311" s="22" t="str">
        <f aca="false">IF(OR($S311="",N($C311)=0),"",$C311/100*N(INDEX('Pro قاعدة الأغذية'!$I$5:$I$604,$S311)))</f>
        <v/>
      </c>
      <c r="H311" s="22" t="str">
        <f aca="false">IF(OR($S311="",N($C311)=0),"",$C311/100*N(INDEX('Pro قاعدة الأغذية'!$J$5:$J$604,$S311)))</f>
        <v/>
      </c>
      <c r="I311" s="19" t="str">
        <f aca="false">IF(OR($S311="",N($C311)=0),"",$C311/100*N(INDEX('Pro قاعدة الأغذية'!$L$5:$L$604,$S311)))</f>
        <v/>
      </c>
      <c r="J311" s="30" t="str">
        <f aca="false">IF($S311="","",INDEX('Pro قاعدة الأغذية'!$E$5:$E$604,$S311))</f>
        <v/>
      </c>
      <c r="S311" s="31" t="str">
        <f aca="false">IF(B311="","",IFERROR(MATCH(B311,'Pro قاعدة الأغذية'!$C$5:$C$604,0),""))</f>
        <v/>
      </c>
    </row>
    <row r="312" customFormat="false" ht="15" hidden="false" customHeight="false" outlineLevel="0" collapsed="false">
      <c r="A312" s="24"/>
      <c r="B312" s="5"/>
      <c r="C312" s="18"/>
      <c r="D312" s="19" t="str">
        <f aca="false">IF(OR($S312="",N($C312)=0),"",$C312/100*N(INDEX('Pro قاعدة الأغذية'!$F$5:$F$604,$S312)))</f>
        <v/>
      </c>
      <c r="E312" s="22" t="str">
        <f aca="false">IF(OR($S312="",N($C312)=0),"",$C312/100*N(INDEX('Pro قاعدة الأغذية'!$G$5:$G$604,$S312)))</f>
        <v/>
      </c>
      <c r="F312" s="22" t="str">
        <f aca="false">IF(OR($S312="",N($C312)=0),"",$C312/100*N(INDEX('Pro قاعدة الأغذية'!$H$5:$H$604,$S312)))</f>
        <v/>
      </c>
      <c r="G312" s="22" t="str">
        <f aca="false">IF(OR($S312="",N($C312)=0),"",$C312/100*N(INDEX('Pro قاعدة الأغذية'!$I$5:$I$604,$S312)))</f>
        <v/>
      </c>
      <c r="H312" s="22" t="str">
        <f aca="false">IF(OR($S312="",N($C312)=0),"",$C312/100*N(INDEX('Pro قاعدة الأغذية'!$J$5:$J$604,$S312)))</f>
        <v/>
      </c>
      <c r="I312" s="19" t="str">
        <f aca="false">IF(OR($S312="",N($C312)=0),"",$C312/100*N(INDEX('Pro قاعدة الأغذية'!$L$5:$L$604,$S312)))</f>
        <v/>
      </c>
      <c r="J312" s="30" t="str">
        <f aca="false">IF($S312="","",INDEX('Pro قاعدة الأغذية'!$E$5:$E$604,$S312))</f>
        <v/>
      </c>
      <c r="S312" s="31" t="str">
        <f aca="false">IF(B312="","",IFERROR(MATCH(B312,'Pro قاعدة الأغذية'!$C$5:$C$604,0),""))</f>
        <v/>
      </c>
    </row>
    <row r="313" customFormat="false" ht="15" hidden="false" customHeight="false" outlineLevel="0" collapsed="false">
      <c r="A313" s="24"/>
      <c r="B313" s="5"/>
      <c r="C313" s="18"/>
      <c r="D313" s="19" t="str">
        <f aca="false">IF(OR($S313="",N($C313)=0),"",$C313/100*N(INDEX('Pro قاعدة الأغذية'!$F$5:$F$604,$S313)))</f>
        <v/>
      </c>
      <c r="E313" s="22" t="str">
        <f aca="false">IF(OR($S313="",N($C313)=0),"",$C313/100*N(INDEX('Pro قاعدة الأغذية'!$G$5:$G$604,$S313)))</f>
        <v/>
      </c>
      <c r="F313" s="22" t="str">
        <f aca="false">IF(OR($S313="",N($C313)=0),"",$C313/100*N(INDEX('Pro قاعدة الأغذية'!$H$5:$H$604,$S313)))</f>
        <v/>
      </c>
      <c r="G313" s="22" t="str">
        <f aca="false">IF(OR($S313="",N($C313)=0),"",$C313/100*N(INDEX('Pro قاعدة الأغذية'!$I$5:$I$604,$S313)))</f>
        <v/>
      </c>
      <c r="H313" s="22" t="str">
        <f aca="false">IF(OR($S313="",N($C313)=0),"",$C313/100*N(INDEX('Pro قاعدة الأغذية'!$J$5:$J$604,$S313)))</f>
        <v/>
      </c>
      <c r="I313" s="19" t="str">
        <f aca="false">IF(OR($S313="",N($C313)=0),"",$C313/100*N(INDEX('Pro قاعدة الأغذية'!$L$5:$L$604,$S313)))</f>
        <v/>
      </c>
      <c r="J313" s="30" t="str">
        <f aca="false">IF($S313="","",INDEX('Pro قاعدة الأغذية'!$E$5:$E$604,$S313))</f>
        <v/>
      </c>
      <c r="S313" s="31" t="str">
        <f aca="false">IF(B313="","",IFERROR(MATCH(B313,'Pro قاعدة الأغذية'!$C$5:$C$604,0),""))</f>
        <v/>
      </c>
    </row>
    <row r="314" customFormat="false" ht="15" hidden="false" customHeight="false" outlineLevel="0" collapsed="false">
      <c r="A314" s="24"/>
      <c r="B314" s="32" t="s">
        <v>91</v>
      </c>
      <c r="C314" s="33" t="n">
        <f aca="false">SUM(C308:C313)</f>
        <v>0</v>
      </c>
      <c r="D314" s="33" t="n">
        <f aca="false">SUM(D308:D313)</f>
        <v>0</v>
      </c>
      <c r="E314" s="33" t="n">
        <f aca="false">SUM(E308:E313)</f>
        <v>0</v>
      </c>
      <c r="F314" s="33" t="n">
        <f aca="false">SUM(F308:F313)</f>
        <v>0</v>
      </c>
      <c r="G314" s="33" t="n">
        <f aca="false">SUM(G308:G313)</f>
        <v>0</v>
      </c>
      <c r="H314" s="34" t="n">
        <f aca="false">SUM(H308:H313)</f>
        <v>0</v>
      </c>
      <c r="I314" s="33" t="n">
        <f aca="false">SUM(I308:I313)</f>
        <v>0</v>
      </c>
      <c r="K314" s="35" t="n">
        <f aca="false">IF(AND(('Pro إعدادات'!$C$35="نعم"),IF($T$292=1,'Pro إعدادات'!$G$39,'Pro إعدادات'!$D$39)&gt;0),'Pro ملف الرياضي'!$H$29*IF($T$292=1,'Pro إعدادات'!$G$35,'Pro إعدادات'!$D$35)/IF($T$292=1,'Pro إعدادات'!$G$39,'Pro إعدادات'!$D$39),0)</f>
        <v>36</v>
      </c>
      <c r="L314" s="35" t="n">
        <f aca="false">IF(AND(('Pro إعدادات'!$C$35="نعم"),IF($T$292=1,'Pro إعدادات'!$H$39,'Pro إعدادات'!$E$39)&gt;0),'Pro ملف الرياضي'!$I$29*IF($T$292=1,'Pro إعدادات'!$H$35,'Pro إعدادات'!$E$35)/IF($T$292=1,'Pro إعدادات'!$H$39,'Pro إعدادات'!$E$39),0)</f>
        <v>80</v>
      </c>
      <c r="M314" s="35" t="n">
        <f aca="false">IF(AND(('Pro إعدادات'!$C$35="نعم"),IF($T$292=1,'Pro إعدادات'!$I$39,'Pro إعدادات'!$F$39)&gt;0),'Pro ملف الرياضي'!$J$29*IF($T$292=1,'Pro إعدادات'!$I$35,'Pro إعدادات'!$F$35)/IF($T$292=1,'Pro إعدادات'!$I$39,'Pro إعدادات'!$F$39),0)</f>
        <v>21.6</v>
      </c>
      <c r="N314" s="35" t="n">
        <f aca="false">4*K314+4*L314+9*M314</f>
        <v>658.4</v>
      </c>
      <c r="O314" s="21" t="n">
        <f aca="false">E314-K314</f>
        <v>-36</v>
      </c>
      <c r="P314" s="21" t="n">
        <f aca="false">F314-L314</f>
        <v>-80</v>
      </c>
      <c r="Q314" s="21" t="n">
        <f aca="false">G314-M314</f>
        <v>-21.6</v>
      </c>
    </row>
    <row r="315" customFormat="false" ht="15" hidden="false" customHeight="false" outlineLevel="0" collapsed="false">
      <c r="A315" s="14" t="str">
        <f aca="false">'Pro إعدادات'!A36&amp;" ("&amp;'Pro إعدادات'!B36&amp;")"</f>
        <v>سناك 2 / بعد التدريب (16:30)</v>
      </c>
      <c r="B315" s="5"/>
      <c r="C315" s="18"/>
      <c r="D315" s="19" t="str">
        <f aca="false">IF(OR($S315="",N($C315)=0),"",$C315/100*N(INDEX('Pro قاعدة الأغذية'!$F$5:$F$604,$S315)))</f>
        <v/>
      </c>
      <c r="E315" s="22" t="str">
        <f aca="false">IF(OR($S315="",N($C315)=0),"",$C315/100*N(INDEX('Pro قاعدة الأغذية'!$G$5:$G$604,$S315)))</f>
        <v/>
      </c>
      <c r="F315" s="22" t="str">
        <f aca="false">IF(OR($S315="",N($C315)=0),"",$C315/100*N(INDEX('Pro قاعدة الأغذية'!$H$5:$H$604,$S315)))</f>
        <v/>
      </c>
      <c r="G315" s="22" t="str">
        <f aca="false">IF(OR($S315="",N($C315)=0),"",$C315/100*N(INDEX('Pro قاعدة الأغذية'!$I$5:$I$604,$S315)))</f>
        <v/>
      </c>
      <c r="H315" s="22" t="str">
        <f aca="false">IF(OR($S315="",N($C315)=0),"",$C315/100*N(INDEX('Pro قاعدة الأغذية'!$J$5:$J$604,$S315)))</f>
        <v/>
      </c>
      <c r="I315" s="19" t="str">
        <f aca="false">IF(OR($S315="",N($C315)=0),"",$C315/100*N(INDEX('Pro قاعدة الأغذية'!$L$5:$L$604,$S315)))</f>
        <v/>
      </c>
      <c r="J315" s="30" t="str">
        <f aca="false">IF($S315="","",INDEX('Pro قاعدة الأغذية'!$E$5:$E$604,$S315))</f>
        <v/>
      </c>
      <c r="S315" s="31" t="str">
        <f aca="false">IF(B315="","",IFERROR(MATCH(B315,'Pro قاعدة الأغذية'!$C$5:$C$604,0),""))</f>
        <v/>
      </c>
    </row>
    <row r="316" customFormat="false" ht="15" hidden="false" customHeight="false" outlineLevel="0" collapsed="false">
      <c r="A316" s="24"/>
      <c r="B316" s="5"/>
      <c r="C316" s="18"/>
      <c r="D316" s="19" t="str">
        <f aca="false">IF(OR($S316="",N($C316)=0),"",$C316/100*N(INDEX('Pro قاعدة الأغذية'!$F$5:$F$604,$S316)))</f>
        <v/>
      </c>
      <c r="E316" s="22" t="str">
        <f aca="false">IF(OR($S316="",N($C316)=0),"",$C316/100*N(INDEX('Pro قاعدة الأغذية'!$G$5:$G$604,$S316)))</f>
        <v/>
      </c>
      <c r="F316" s="22" t="str">
        <f aca="false">IF(OR($S316="",N($C316)=0),"",$C316/100*N(INDEX('Pro قاعدة الأغذية'!$H$5:$H$604,$S316)))</f>
        <v/>
      </c>
      <c r="G316" s="22" t="str">
        <f aca="false">IF(OR($S316="",N($C316)=0),"",$C316/100*N(INDEX('Pro قاعدة الأغذية'!$I$5:$I$604,$S316)))</f>
        <v/>
      </c>
      <c r="H316" s="22" t="str">
        <f aca="false">IF(OR($S316="",N($C316)=0),"",$C316/100*N(INDEX('Pro قاعدة الأغذية'!$J$5:$J$604,$S316)))</f>
        <v/>
      </c>
      <c r="I316" s="19" t="str">
        <f aca="false">IF(OR($S316="",N($C316)=0),"",$C316/100*N(INDEX('Pro قاعدة الأغذية'!$L$5:$L$604,$S316)))</f>
        <v/>
      </c>
      <c r="J316" s="30" t="str">
        <f aca="false">IF($S316="","",INDEX('Pro قاعدة الأغذية'!$E$5:$E$604,$S316))</f>
        <v/>
      </c>
      <c r="S316" s="31" t="str">
        <f aca="false">IF(B316="","",IFERROR(MATCH(B316,'Pro قاعدة الأغذية'!$C$5:$C$604,0),""))</f>
        <v/>
      </c>
    </row>
    <row r="317" customFormat="false" ht="15" hidden="false" customHeight="false" outlineLevel="0" collapsed="false">
      <c r="A317" s="24"/>
      <c r="B317" s="5"/>
      <c r="C317" s="18"/>
      <c r="D317" s="19" t="str">
        <f aca="false">IF(OR($S317="",N($C317)=0),"",$C317/100*N(INDEX('Pro قاعدة الأغذية'!$F$5:$F$604,$S317)))</f>
        <v/>
      </c>
      <c r="E317" s="22" t="str">
        <f aca="false">IF(OR($S317="",N($C317)=0),"",$C317/100*N(INDEX('Pro قاعدة الأغذية'!$G$5:$G$604,$S317)))</f>
        <v/>
      </c>
      <c r="F317" s="22" t="str">
        <f aca="false">IF(OR($S317="",N($C317)=0),"",$C317/100*N(INDEX('Pro قاعدة الأغذية'!$H$5:$H$604,$S317)))</f>
        <v/>
      </c>
      <c r="G317" s="22" t="str">
        <f aca="false">IF(OR($S317="",N($C317)=0),"",$C317/100*N(INDEX('Pro قاعدة الأغذية'!$I$5:$I$604,$S317)))</f>
        <v/>
      </c>
      <c r="H317" s="22" t="str">
        <f aca="false">IF(OR($S317="",N($C317)=0),"",$C317/100*N(INDEX('Pro قاعدة الأغذية'!$J$5:$J$604,$S317)))</f>
        <v/>
      </c>
      <c r="I317" s="19" t="str">
        <f aca="false">IF(OR($S317="",N($C317)=0),"",$C317/100*N(INDEX('Pro قاعدة الأغذية'!$L$5:$L$604,$S317)))</f>
        <v/>
      </c>
      <c r="J317" s="30" t="str">
        <f aca="false">IF($S317="","",INDEX('Pro قاعدة الأغذية'!$E$5:$E$604,$S317))</f>
        <v/>
      </c>
      <c r="S317" s="31" t="str">
        <f aca="false">IF(B317="","",IFERROR(MATCH(B317,'Pro قاعدة الأغذية'!$C$5:$C$604,0),""))</f>
        <v/>
      </c>
    </row>
    <row r="318" customFormat="false" ht="15" hidden="false" customHeight="false" outlineLevel="0" collapsed="false">
      <c r="A318" s="24"/>
      <c r="B318" s="5"/>
      <c r="C318" s="18"/>
      <c r="D318" s="19" t="str">
        <f aca="false">IF(OR($S318="",N($C318)=0),"",$C318/100*N(INDEX('Pro قاعدة الأغذية'!$F$5:$F$604,$S318)))</f>
        <v/>
      </c>
      <c r="E318" s="22" t="str">
        <f aca="false">IF(OR($S318="",N($C318)=0),"",$C318/100*N(INDEX('Pro قاعدة الأغذية'!$G$5:$G$604,$S318)))</f>
        <v/>
      </c>
      <c r="F318" s="22" t="str">
        <f aca="false">IF(OR($S318="",N($C318)=0),"",$C318/100*N(INDEX('Pro قاعدة الأغذية'!$H$5:$H$604,$S318)))</f>
        <v/>
      </c>
      <c r="G318" s="22" t="str">
        <f aca="false">IF(OR($S318="",N($C318)=0),"",$C318/100*N(INDEX('Pro قاعدة الأغذية'!$I$5:$I$604,$S318)))</f>
        <v/>
      </c>
      <c r="H318" s="22" t="str">
        <f aca="false">IF(OR($S318="",N($C318)=0),"",$C318/100*N(INDEX('Pro قاعدة الأغذية'!$J$5:$J$604,$S318)))</f>
        <v/>
      </c>
      <c r="I318" s="19" t="str">
        <f aca="false">IF(OR($S318="",N($C318)=0),"",$C318/100*N(INDEX('Pro قاعدة الأغذية'!$L$5:$L$604,$S318)))</f>
        <v/>
      </c>
      <c r="J318" s="30" t="str">
        <f aca="false">IF($S318="","",INDEX('Pro قاعدة الأغذية'!$E$5:$E$604,$S318))</f>
        <v/>
      </c>
      <c r="S318" s="31" t="str">
        <f aca="false">IF(B318="","",IFERROR(MATCH(B318,'Pro قاعدة الأغذية'!$C$5:$C$604,0),""))</f>
        <v/>
      </c>
    </row>
    <row r="319" customFormat="false" ht="15" hidden="false" customHeight="false" outlineLevel="0" collapsed="false">
      <c r="A319" s="24"/>
      <c r="B319" s="5"/>
      <c r="C319" s="18"/>
      <c r="D319" s="19" t="str">
        <f aca="false">IF(OR($S319="",N($C319)=0),"",$C319/100*N(INDEX('Pro قاعدة الأغذية'!$F$5:$F$604,$S319)))</f>
        <v/>
      </c>
      <c r="E319" s="22" t="str">
        <f aca="false">IF(OR($S319="",N($C319)=0),"",$C319/100*N(INDEX('Pro قاعدة الأغذية'!$G$5:$G$604,$S319)))</f>
        <v/>
      </c>
      <c r="F319" s="22" t="str">
        <f aca="false">IF(OR($S319="",N($C319)=0),"",$C319/100*N(INDEX('Pro قاعدة الأغذية'!$H$5:$H$604,$S319)))</f>
        <v/>
      </c>
      <c r="G319" s="22" t="str">
        <f aca="false">IF(OR($S319="",N($C319)=0),"",$C319/100*N(INDEX('Pro قاعدة الأغذية'!$I$5:$I$604,$S319)))</f>
        <v/>
      </c>
      <c r="H319" s="22" t="str">
        <f aca="false">IF(OR($S319="",N($C319)=0),"",$C319/100*N(INDEX('Pro قاعدة الأغذية'!$J$5:$J$604,$S319)))</f>
        <v/>
      </c>
      <c r="I319" s="19" t="str">
        <f aca="false">IF(OR($S319="",N($C319)=0),"",$C319/100*N(INDEX('Pro قاعدة الأغذية'!$L$5:$L$604,$S319)))</f>
        <v/>
      </c>
      <c r="J319" s="30" t="str">
        <f aca="false">IF($S319="","",INDEX('Pro قاعدة الأغذية'!$E$5:$E$604,$S319))</f>
        <v/>
      </c>
      <c r="S319" s="31" t="str">
        <f aca="false">IF(B319="","",IFERROR(MATCH(B319,'Pro قاعدة الأغذية'!$C$5:$C$604,0),""))</f>
        <v/>
      </c>
    </row>
    <row r="320" customFormat="false" ht="15" hidden="false" customHeight="false" outlineLevel="0" collapsed="false">
      <c r="A320" s="24"/>
      <c r="B320" s="5"/>
      <c r="C320" s="18"/>
      <c r="D320" s="19" t="str">
        <f aca="false">IF(OR($S320="",N($C320)=0),"",$C320/100*N(INDEX('Pro قاعدة الأغذية'!$F$5:$F$604,$S320)))</f>
        <v/>
      </c>
      <c r="E320" s="22" t="str">
        <f aca="false">IF(OR($S320="",N($C320)=0),"",$C320/100*N(INDEX('Pro قاعدة الأغذية'!$G$5:$G$604,$S320)))</f>
        <v/>
      </c>
      <c r="F320" s="22" t="str">
        <f aca="false">IF(OR($S320="",N($C320)=0),"",$C320/100*N(INDEX('Pro قاعدة الأغذية'!$H$5:$H$604,$S320)))</f>
        <v/>
      </c>
      <c r="G320" s="22" t="str">
        <f aca="false">IF(OR($S320="",N($C320)=0),"",$C320/100*N(INDEX('Pro قاعدة الأغذية'!$I$5:$I$604,$S320)))</f>
        <v/>
      </c>
      <c r="H320" s="22" t="str">
        <f aca="false">IF(OR($S320="",N($C320)=0),"",$C320/100*N(INDEX('Pro قاعدة الأغذية'!$J$5:$J$604,$S320)))</f>
        <v/>
      </c>
      <c r="I320" s="19" t="str">
        <f aca="false">IF(OR($S320="",N($C320)=0),"",$C320/100*N(INDEX('Pro قاعدة الأغذية'!$L$5:$L$604,$S320)))</f>
        <v/>
      </c>
      <c r="J320" s="30" t="str">
        <f aca="false">IF($S320="","",INDEX('Pro قاعدة الأغذية'!$E$5:$E$604,$S320))</f>
        <v/>
      </c>
      <c r="S320" s="31" t="str">
        <f aca="false">IF(B320="","",IFERROR(MATCH(B320,'Pro قاعدة الأغذية'!$C$5:$C$604,0),""))</f>
        <v/>
      </c>
    </row>
    <row r="321" customFormat="false" ht="15" hidden="false" customHeight="false" outlineLevel="0" collapsed="false">
      <c r="A321" s="24"/>
      <c r="B321" s="32" t="s">
        <v>91</v>
      </c>
      <c r="C321" s="33" t="n">
        <f aca="false">SUM(C315:C320)</f>
        <v>0</v>
      </c>
      <c r="D321" s="33" t="n">
        <f aca="false">SUM(D315:D320)</f>
        <v>0</v>
      </c>
      <c r="E321" s="33" t="n">
        <f aca="false">SUM(E315:E320)</f>
        <v>0</v>
      </c>
      <c r="F321" s="33" t="n">
        <f aca="false">SUM(F315:F320)</f>
        <v>0</v>
      </c>
      <c r="G321" s="33" t="n">
        <f aca="false">SUM(G315:G320)</f>
        <v>0</v>
      </c>
      <c r="H321" s="34" t="n">
        <f aca="false">SUM(H315:H320)</f>
        <v>0</v>
      </c>
      <c r="I321" s="33" t="n">
        <f aca="false">SUM(I315:I320)</f>
        <v>0</v>
      </c>
      <c r="K321" s="35" t="n">
        <f aca="false">IF(AND(('Pro إعدادات'!$C$36="نعم"),IF($T$292=1,'Pro إعدادات'!$G$39,'Pro إعدادات'!$D$39)&gt;0),'Pro ملف الرياضي'!$H$29*IF($T$292=1,'Pro إعدادات'!$G$36,'Pro إعدادات'!$D$36)/IF($T$292=1,'Pro إعدادات'!$G$39,'Pro إعدادات'!$D$39),0)</f>
        <v>28.8</v>
      </c>
      <c r="L321" s="35" t="n">
        <f aca="false">IF(AND(('Pro إعدادات'!$C$36="نعم"),IF($T$292=1,'Pro إعدادات'!$H$39,'Pro إعدادات'!$E$39)&gt;0),'Pro ملف الرياضي'!$I$29*IF($T$292=1,'Pro إعدادات'!$H$36,'Pro إعدادات'!$E$36)/IF($T$292=1,'Pro إعدادات'!$H$39,'Pro إعدادات'!$E$39),0)</f>
        <v>80</v>
      </c>
      <c r="M321" s="35" t="n">
        <f aca="false">IF(AND(('Pro إعدادات'!$C$36="نعم"),IF($T$292=1,'Pro إعدادات'!$I$39,'Pro إعدادات'!$F$39)&gt;0),'Pro ملف الرياضي'!$J$29*IF($T$292=1,'Pro إعدادات'!$I$36,'Pro إعدادات'!$F$36)/IF($T$292=1,'Pro إعدادات'!$I$39,'Pro إعدادات'!$F$39),0)</f>
        <v>7.2</v>
      </c>
      <c r="N321" s="35" t="n">
        <f aca="false">4*K321+4*L321+9*M321</f>
        <v>500</v>
      </c>
      <c r="O321" s="21" t="n">
        <f aca="false">E321-K321</f>
        <v>-28.8</v>
      </c>
      <c r="P321" s="21" t="n">
        <f aca="false">F321-L321</f>
        <v>-80</v>
      </c>
      <c r="Q321" s="21" t="n">
        <f aca="false">G321-M321</f>
        <v>-7.2</v>
      </c>
    </row>
    <row r="322" customFormat="false" ht="15" hidden="false" customHeight="false" outlineLevel="0" collapsed="false">
      <c r="A322" s="14" t="str">
        <f aca="false">'Pro إعدادات'!A37&amp;" ("&amp;'Pro إعدادات'!B37&amp;")"</f>
        <v>العشاء (20:00)</v>
      </c>
      <c r="B322" s="5"/>
      <c r="C322" s="18"/>
      <c r="D322" s="19" t="str">
        <f aca="false">IF(OR($S322="",N($C322)=0),"",$C322/100*N(INDEX('Pro قاعدة الأغذية'!$F$5:$F$604,$S322)))</f>
        <v/>
      </c>
      <c r="E322" s="22" t="str">
        <f aca="false">IF(OR($S322="",N($C322)=0),"",$C322/100*N(INDEX('Pro قاعدة الأغذية'!$G$5:$G$604,$S322)))</f>
        <v/>
      </c>
      <c r="F322" s="22" t="str">
        <f aca="false">IF(OR($S322="",N($C322)=0),"",$C322/100*N(INDEX('Pro قاعدة الأغذية'!$H$5:$H$604,$S322)))</f>
        <v/>
      </c>
      <c r="G322" s="22" t="str">
        <f aca="false">IF(OR($S322="",N($C322)=0),"",$C322/100*N(INDEX('Pro قاعدة الأغذية'!$I$5:$I$604,$S322)))</f>
        <v/>
      </c>
      <c r="H322" s="22" t="str">
        <f aca="false">IF(OR($S322="",N($C322)=0),"",$C322/100*N(INDEX('Pro قاعدة الأغذية'!$J$5:$J$604,$S322)))</f>
        <v/>
      </c>
      <c r="I322" s="19" t="str">
        <f aca="false">IF(OR($S322="",N($C322)=0),"",$C322/100*N(INDEX('Pro قاعدة الأغذية'!$L$5:$L$604,$S322)))</f>
        <v/>
      </c>
      <c r="J322" s="30" t="str">
        <f aca="false">IF($S322="","",INDEX('Pro قاعدة الأغذية'!$E$5:$E$604,$S322))</f>
        <v/>
      </c>
      <c r="S322" s="31" t="str">
        <f aca="false">IF(B322="","",IFERROR(MATCH(B322,'Pro قاعدة الأغذية'!$C$5:$C$604,0),""))</f>
        <v/>
      </c>
    </row>
    <row r="323" customFormat="false" ht="15" hidden="false" customHeight="false" outlineLevel="0" collapsed="false">
      <c r="A323" s="24"/>
      <c r="B323" s="5"/>
      <c r="C323" s="18"/>
      <c r="D323" s="19" t="str">
        <f aca="false">IF(OR($S323="",N($C323)=0),"",$C323/100*N(INDEX('Pro قاعدة الأغذية'!$F$5:$F$604,$S323)))</f>
        <v/>
      </c>
      <c r="E323" s="22" t="str">
        <f aca="false">IF(OR($S323="",N($C323)=0),"",$C323/100*N(INDEX('Pro قاعدة الأغذية'!$G$5:$G$604,$S323)))</f>
        <v/>
      </c>
      <c r="F323" s="22" t="str">
        <f aca="false">IF(OR($S323="",N($C323)=0),"",$C323/100*N(INDEX('Pro قاعدة الأغذية'!$H$5:$H$604,$S323)))</f>
        <v/>
      </c>
      <c r="G323" s="22" t="str">
        <f aca="false">IF(OR($S323="",N($C323)=0),"",$C323/100*N(INDEX('Pro قاعدة الأغذية'!$I$5:$I$604,$S323)))</f>
        <v/>
      </c>
      <c r="H323" s="22" t="str">
        <f aca="false">IF(OR($S323="",N($C323)=0),"",$C323/100*N(INDEX('Pro قاعدة الأغذية'!$J$5:$J$604,$S323)))</f>
        <v/>
      </c>
      <c r="I323" s="19" t="str">
        <f aca="false">IF(OR($S323="",N($C323)=0),"",$C323/100*N(INDEX('Pro قاعدة الأغذية'!$L$5:$L$604,$S323)))</f>
        <v/>
      </c>
      <c r="J323" s="30" t="str">
        <f aca="false">IF($S323="","",INDEX('Pro قاعدة الأغذية'!$E$5:$E$604,$S323))</f>
        <v/>
      </c>
      <c r="S323" s="31" t="str">
        <f aca="false">IF(B323="","",IFERROR(MATCH(B323,'Pro قاعدة الأغذية'!$C$5:$C$604,0),""))</f>
        <v/>
      </c>
    </row>
    <row r="324" customFormat="false" ht="15" hidden="false" customHeight="false" outlineLevel="0" collapsed="false">
      <c r="A324" s="24"/>
      <c r="B324" s="5"/>
      <c r="C324" s="18"/>
      <c r="D324" s="19" t="str">
        <f aca="false">IF(OR($S324="",N($C324)=0),"",$C324/100*N(INDEX('Pro قاعدة الأغذية'!$F$5:$F$604,$S324)))</f>
        <v/>
      </c>
      <c r="E324" s="22" t="str">
        <f aca="false">IF(OR($S324="",N($C324)=0),"",$C324/100*N(INDEX('Pro قاعدة الأغذية'!$G$5:$G$604,$S324)))</f>
        <v/>
      </c>
      <c r="F324" s="22" t="str">
        <f aca="false">IF(OR($S324="",N($C324)=0),"",$C324/100*N(INDEX('Pro قاعدة الأغذية'!$H$5:$H$604,$S324)))</f>
        <v/>
      </c>
      <c r="G324" s="22" t="str">
        <f aca="false">IF(OR($S324="",N($C324)=0),"",$C324/100*N(INDEX('Pro قاعدة الأغذية'!$I$5:$I$604,$S324)))</f>
        <v/>
      </c>
      <c r="H324" s="22" t="str">
        <f aca="false">IF(OR($S324="",N($C324)=0),"",$C324/100*N(INDEX('Pro قاعدة الأغذية'!$J$5:$J$604,$S324)))</f>
        <v/>
      </c>
      <c r="I324" s="19" t="str">
        <f aca="false">IF(OR($S324="",N($C324)=0),"",$C324/100*N(INDEX('Pro قاعدة الأغذية'!$L$5:$L$604,$S324)))</f>
        <v/>
      </c>
      <c r="J324" s="30" t="str">
        <f aca="false">IF($S324="","",INDEX('Pro قاعدة الأغذية'!$E$5:$E$604,$S324))</f>
        <v/>
      </c>
      <c r="S324" s="31" t="str">
        <f aca="false">IF(B324="","",IFERROR(MATCH(B324,'Pro قاعدة الأغذية'!$C$5:$C$604,0),""))</f>
        <v/>
      </c>
    </row>
    <row r="325" customFormat="false" ht="15" hidden="false" customHeight="false" outlineLevel="0" collapsed="false">
      <c r="A325" s="24"/>
      <c r="B325" s="5"/>
      <c r="C325" s="18"/>
      <c r="D325" s="19" t="str">
        <f aca="false">IF(OR($S325="",N($C325)=0),"",$C325/100*N(INDEX('Pro قاعدة الأغذية'!$F$5:$F$604,$S325)))</f>
        <v/>
      </c>
      <c r="E325" s="22" t="str">
        <f aca="false">IF(OR($S325="",N($C325)=0),"",$C325/100*N(INDEX('Pro قاعدة الأغذية'!$G$5:$G$604,$S325)))</f>
        <v/>
      </c>
      <c r="F325" s="22" t="str">
        <f aca="false">IF(OR($S325="",N($C325)=0),"",$C325/100*N(INDEX('Pro قاعدة الأغذية'!$H$5:$H$604,$S325)))</f>
        <v/>
      </c>
      <c r="G325" s="22" t="str">
        <f aca="false">IF(OR($S325="",N($C325)=0),"",$C325/100*N(INDEX('Pro قاعدة الأغذية'!$I$5:$I$604,$S325)))</f>
        <v/>
      </c>
      <c r="H325" s="22" t="str">
        <f aca="false">IF(OR($S325="",N($C325)=0),"",$C325/100*N(INDEX('Pro قاعدة الأغذية'!$J$5:$J$604,$S325)))</f>
        <v/>
      </c>
      <c r="I325" s="19" t="str">
        <f aca="false">IF(OR($S325="",N($C325)=0),"",$C325/100*N(INDEX('Pro قاعدة الأغذية'!$L$5:$L$604,$S325)))</f>
        <v/>
      </c>
      <c r="J325" s="30" t="str">
        <f aca="false">IF($S325="","",INDEX('Pro قاعدة الأغذية'!$E$5:$E$604,$S325))</f>
        <v/>
      </c>
      <c r="S325" s="31" t="str">
        <f aca="false">IF(B325="","",IFERROR(MATCH(B325,'Pro قاعدة الأغذية'!$C$5:$C$604,0),""))</f>
        <v/>
      </c>
    </row>
    <row r="326" customFormat="false" ht="15" hidden="false" customHeight="false" outlineLevel="0" collapsed="false">
      <c r="A326" s="24"/>
      <c r="B326" s="5"/>
      <c r="C326" s="18"/>
      <c r="D326" s="19" t="str">
        <f aca="false">IF(OR($S326="",N($C326)=0),"",$C326/100*N(INDEX('Pro قاعدة الأغذية'!$F$5:$F$604,$S326)))</f>
        <v/>
      </c>
      <c r="E326" s="22" t="str">
        <f aca="false">IF(OR($S326="",N($C326)=0),"",$C326/100*N(INDEX('Pro قاعدة الأغذية'!$G$5:$G$604,$S326)))</f>
        <v/>
      </c>
      <c r="F326" s="22" t="str">
        <f aca="false">IF(OR($S326="",N($C326)=0),"",$C326/100*N(INDEX('Pro قاعدة الأغذية'!$H$5:$H$604,$S326)))</f>
        <v/>
      </c>
      <c r="G326" s="22" t="str">
        <f aca="false">IF(OR($S326="",N($C326)=0),"",$C326/100*N(INDEX('Pro قاعدة الأغذية'!$I$5:$I$604,$S326)))</f>
        <v/>
      </c>
      <c r="H326" s="22" t="str">
        <f aca="false">IF(OR($S326="",N($C326)=0),"",$C326/100*N(INDEX('Pro قاعدة الأغذية'!$J$5:$J$604,$S326)))</f>
        <v/>
      </c>
      <c r="I326" s="19" t="str">
        <f aca="false">IF(OR($S326="",N($C326)=0),"",$C326/100*N(INDEX('Pro قاعدة الأغذية'!$L$5:$L$604,$S326)))</f>
        <v/>
      </c>
      <c r="J326" s="30" t="str">
        <f aca="false">IF($S326="","",INDEX('Pro قاعدة الأغذية'!$E$5:$E$604,$S326))</f>
        <v/>
      </c>
      <c r="S326" s="31" t="str">
        <f aca="false">IF(B326="","",IFERROR(MATCH(B326,'Pro قاعدة الأغذية'!$C$5:$C$604,0),""))</f>
        <v/>
      </c>
    </row>
    <row r="327" customFormat="false" ht="15" hidden="false" customHeight="false" outlineLevel="0" collapsed="false">
      <c r="A327" s="24"/>
      <c r="B327" s="5"/>
      <c r="C327" s="18"/>
      <c r="D327" s="19" t="str">
        <f aca="false">IF(OR($S327="",N($C327)=0),"",$C327/100*N(INDEX('Pro قاعدة الأغذية'!$F$5:$F$604,$S327)))</f>
        <v/>
      </c>
      <c r="E327" s="22" t="str">
        <f aca="false">IF(OR($S327="",N($C327)=0),"",$C327/100*N(INDEX('Pro قاعدة الأغذية'!$G$5:$G$604,$S327)))</f>
        <v/>
      </c>
      <c r="F327" s="22" t="str">
        <f aca="false">IF(OR($S327="",N($C327)=0),"",$C327/100*N(INDEX('Pro قاعدة الأغذية'!$H$5:$H$604,$S327)))</f>
        <v/>
      </c>
      <c r="G327" s="22" t="str">
        <f aca="false">IF(OR($S327="",N($C327)=0),"",$C327/100*N(INDEX('Pro قاعدة الأغذية'!$I$5:$I$604,$S327)))</f>
        <v/>
      </c>
      <c r="H327" s="22" t="str">
        <f aca="false">IF(OR($S327="",N($C327)=0),"",$C327/100*N(INDEX('Pro قاعدة الأغذية'!$J$5:$J$604,$S327)))</f>
        <v/>
      </c>
      <c r="I327" s="19" t="str">
        <f aca="false">IF(OR($S327="",N($C327)=0),"",$C327/100*N(INDEX('Pro قاعدة الأغذية'!$L$5:$L$604,$S327)))</f>
        <v/>
      </c>
      <c r="J327" s="30" t="str">
        <f aca="false">IF($S327="","",INDEX('Pro قاعدة الأغذية'!$E$5:$E$604,$S327))</f>
        <v/>
      </c>
      <c r="S327" s="31" t="str">
        <f aca="false">IF(B327="","",IFERROR(MATCH(B327,'Pro قاعدة الأغذية'!$C$5:$C$604,0),""))</f>
        <v/>
      </c>
    </row>
    <row r="328" customFormat="false" ht="15" hidden="false" customHeight="false" outlineLevel="0" collapsed="false">
      <c r="A328" s="24"/>
      <c r="B328" s="32" t="s">
        <v>91</v>
      </c>
      <c r="C328" s="33" t="n">
        <f aca="false">SUM(C322:C327)</f>
        <v>0</v>
      </c>
      <c r="D328" s="33" t="n">
        <f aca="false">SUM(D322:D327)</f>
        <v>0</v>
      </c>
      <c r="E328" s="33" t="n">
        <f aca="false">SUM(E322:E327)</f>
        <v>0</v>
      </c>
      <c r="F328" s="33" t="n">
        <f aca="false">SUM(F322:F327)</f>
        <v>0</v>
      </c>
      <c r="G328" s="33" t="n">
        <f aca="false">SUM(G322:G327)</f>
        <v>0</v>
      </c>
      <c r="H328" s="34" t="n">
        <f aca="false">SUM(H322:H327)</f>
        <v>0</v>
      </c>
      <c r="I328" s="33" t="n">
        <f aca="false">SUM(I322:I327)</f>
        <v>0</v>
      </c>
      <c r="K328" s="35" t="n">
        <f aca="false">IF(AND(('Pro إعدادات'!$C$37="نعم"),IF($T$292=1,'Pro إعدادات'!$G$39,'Pro إعدادات'!$D$39)&gt;0),'Pro ملف الرياضي'!$H$29*IF($T$292=1,'Pro إعدادات'!$G$37,'Pro إعدادات'!$D$37)/IF($T$292=1,'Pro إعدادات'!$G$39,'Pro إعدادات'!$D$39),0)</f>
        <v>36</v>
      </c>
      <c r="L328" s="35" t="n">
        <f aca="false">IF(AND(('Pro إعدادات'!$C$37="نعم"),IF($T$292=1,'Pro إعدادات'!$H$39,'Pro إعدادات'!$E$39)&gt;0),'Pro ملف الرياضي'!$I$29*IF($T$292=1,'Pro إعدادات'!$H$37,'Pro إعدادات'!$E$37)/IF($T$292=1,'Pro إعدادات'!$H$39,'Pro إعدادات'!$E$39),0)</f>
        <v>48</v>
      </c>
      <c r="M328" s="35" t="n">
        <f aca="false">IF(AND(('Pro إعدادات'!$C$37="نعم"),IF($T$292=1,'Pro إعدادات'!$I$39,'Pro إعدادات'!$F$39)&gt;0),'Pro ملف الرياضي'!$J$29*IF($T$292=1,'Pro إعدادات'!$I$37,'Pro إعدادات'!$F$37)/IF($T$292=1,'Pro إعدادات'!$I$39,'Pro إعدادات'!$F$39),0)</f>
        <v>21.6</v>
      </c>
      <c r="N328" s="35" t="n">
        <f aca="false">4*K328+4*L328+9*M328</f>
        <v>530.4</v>
      </c>
      <c r="O328" s="21" t="n">
        <f aca="false">E328-K328</f>
        <v>-36</v>
      </c>
      <c r="P328" s="21" t="n">
        <f aca="false">F328-L328</f>
        <v>-48</v>
      </c>
      <c r="Q328" s="21" t="n">
        <f aca="false">G328-M328</f>
        <v>-21.6</v>
      </c>
    </row>
    <row r="329" customFormat="false" ht="15" hidden="false" customHeight="false" outlineLevel="0" collapsed="false">
      <c r="A329" s="14" t="str">
        <f aca="false">'Pro إعدادات'!A38&amp;" ("&amp;'Pro إعدادات'!B38&amp;")"</f>
        <v>وجبة ليلية (22:30)</v>
      </c>
      <c r="B329" s="5"/>
      <c r="C329" s="18"/>
      <c r="D329" s="19" t="str">
        <f aca="false">IF(OR($S329="",N($C329)=0),"",$C329/100*N(INDEX('Pro قاعدة الأغذية'!$F$5:$F$604,$S329)))</f>
        <v/>
      </c>
      <c r="E329" s="22" t="str">
        <f aca="false">IF(OR($S329="",N($C329)=0),"",$C329/100*N(INDEX('Pro قاعدة الأغذية'!$G$5:$G$604,$S329)))</f>
        <v/>
      </c>
      <c r="F329" s="22" t="str">
        <f aca="false">IF(OR($S329="",N($C329)=0),"",$C329/100*N(INDEX('Pro قاعدة الأغذية'!$H$5:$H$604,$S329)))</f>
        <v/>
      </c>
      <c r="G329" s="22" t="str">
        <f aca="false">IF(OR($S329="",N($C329)=0),"",$C329/100*N(INDEX('Pro قاعدة الأغذية'!$I$5:$I$604,$S329)))</f>
        <v/>
      </c>
      <c r="H329" s="22" t="str">
        <f aca="false">IF(OR($S329="",N($C329)=0),"",$C329/100*N(INDEX('Pro قاعدة الأغذية'!$J$5:$J$604,$S329)))</f>
        <v/>
      </c>
      <c r="I329" s="19" t="str">
        <f aca="false">IF(OR($S329="",N($C329)=0),"",$C329/100*N(INDEX('Pro قاعدة الأغذية'!$L$5:$L$604,$S329)))</f>
        <v/>
      </c>
      <c r="J329" s="30" t="str">
        <f aca="false">IF($S329="","",INDEX('Pro قاعدة الأغذية'!$E$5:$E$604,$S329))</f>
        <v/>
      </c>
      <c r="S329" s="31" t="str">
        <f aca="false">IF(B329="","",IFERROR(MATCH(B329,'Pro قاعدة الأغذية'!$C$5:$C$604,0),""))</f>
        <v/>
      </c>
    </row>
    <row r="330" customFormat="false" ht="15" hidden="false" customHeight="false" outlineLevel="0" collapsed="false">
      <c r="A330" s="24"/>
      <c r="B330" s="5"/>
      <c r="C330" s="18"/>
      <c r="D330" s="19" t="str">
        <f aca="false">IF(OR($S330="",N($C330)=0),"",$C330/100*N(INDEX('Pro قاعدة الأغذية'!$F$5:$F$604,$S330)))</f>
        <v/>
      </c>
      <c r="E330" s="22" t="str">
        <f aca="false">IF(OR($S330="",N($C330)=0),"",$C330/100*N(INDEX('Pro قاعدة الأغذية'!$G$5:$G$604,$S330)))</f>
        <v/>
      </c>
      <c r="F330" s="22" t="str">
        <f aca="false">IF(OR($S330="",N($C330)=0),"",$C330/100*N(INDEX('Pro قاعدة الأغذية'!$H$5:$H$604,$S330)))</f>
        <v/>
      </c>
      <c r="G330" s="22" t="str">
        <f aca="false">IF(OR($S330="",N($C330)=0),"",$C330/100*N(INDEX('Pro قاعدة الأغذية'!$I$5:$I$604,$S330)))</f>
        <v/>
      </c>
      <c r="H330" s="22" t="str">
        <f aca="false">IF(OR($S330="",N($C330)=0),"",$C330/100*N(INDEX('Pro قاعدة الأغذية'!$J$5:$J$604,$S330)))</f>
        <v/>
      </c>
      <c r="I330" s="19" t="str">
        <f aca="false">IF(OR($S330="",N($C330)=0),"",$C330/100*N(INDEX('Pro قاعدة الأغذية'!$L$5:$L$604,$S330)))</f>
        <v/>
      </c>
      <c r="J330" s="30" t="str">
        <f aca="false">IF($S330="","",INDEX('Pro قاعدة الأغذية'!$E$5:$E$604,$S330))</f>
        <v/>
      </c>
      <c r="S330" s="31" t="str">
        <f aca="false">IF(B330="","",IFERROR(MATCH(B330,'Pro قاعدة الأغذية'!$C$5:$C$604,0),""))</f>
        <v/>
      </c>
    </row>
    <row r="331" customFormat="false" ht="15" hidden="false" customHeight="false" outlineLevel="0" collapsed="false">
      <c r="A331" s="24"/>
      <c r="B331" s="5"/>
      <c r="C331" s="18"/>
      <c r="D331" s="19" t="str">
        <f aca="false">IF(OR($S331="",N($C331)=0),"",$C331/100*N(INDEX('Pro قاعدة الأغذية'!$F$5:$F$604,$S331)))</f>
        <v/>
      </c>
      <c r="E331" s="22" t="str">
        <f aca="false">IF(OR($S331="",N($C331)=0),"",$C331/100*N(INDEX('Pro قاعدة الأغذية'!$G$5:$G$604,$S331)))</f>
        <v/>
      </c>
      <c r="F331" s="22" t="str">
        <f aca="false">IF(OR($S331="",N($C331)=0),"",$C331/100*N(INDEX('Pro قاعدة الأغذية'!$H$5:$H$604,$S331)))</f>
        <v/>
      </c>
      <c r="G331" s="22" t="str">
        <f aca="false">IF(OR($S331="",N($C331)=0),"",$C331/100*N(INDEX('Pro قاعدة الأغذية'!$I$5:$I$604,$S331)))</f>
        <v/>
      </c>
      <c r="H331" s="22" t="str">
        <f aca="false">IF(OR($S331="",N($C331)=0),"",$C331/100*N(INDEX('Pro قاعدة الأغذية'!$J$5:$J$604,$S331)))</f>
        <v/>
      </c>
      <c r="I331" s="19" t="str">
        <f aca="false">IF(OR($S331="",N($C331)=0),"",$C331/100*N(INDEX('Pro قاعدة الأغذية'!$L$5:$L$604,$S331)))</f>
        <v/>
      </c>
      <c r="J331" s="30" t="str">
        <f aca="false">IF($S331="","",INDEX('Pro قاعدة الأغذية'!$E$5:$E$604,$S331))</f>
        <v/>
      </c>
      <c r="S331" s="31" t="str">
        <f aca="false">IF(B331="","",IFERROR(MATCH(B331,'Pro قاعدة الأغذية'!$C$5:$C$604,0),""))</f>
        <v/>
      </c>
    </row>
    <row r="332" customFormat="false" ht="15" hidden="false" customHeight="false" outlineLevel="0" collapsed="false">
      <c r="A332" s="24"/>
      <c r="B332" s="5"/>
      <c r="C332" s="18"/>
      <c r="D332" s="19" t="str">
        <f aca="false">IF(OR($S332="",N($C332)=0),"",$C332/100*N(INDEX('Pro قاعدة الأغذية'!$F$5:$F$604,$S332)))</f>
        <v/>
      </c>
      <c r="E332" s="22" t="str">
        <f aca="false">IF(OR($S332="",N($C332)=0),"",$C332/100*N(INDEX('Pro قاعدة الأغذية'!$G$5:$G$604,$S332)))</f>
        <v/>
      </c>
      <c r="F332" s="22" t="str">
        <f aca="false">IF(OR($S332="",N($C332)=0),"",$C332/100*N(INDEX('Pro قاعدة الأغذية'!$H$5:$H$604,$S332)))</f>
        <v/>
      </c>
      <c r="G332" s="22" t="str">
        <f aca="false">IF(OR($S332="",N($C332)=0),"",$C332/100*N(INDEX('Pro قاعدة الأغذية'!$I$5:$I$604,$S332)))</f>
        <v/>
      </c>
      <c r="H332" s="22" t="str">
        <f aca="false">IF(OR($S332="",N($C332)=0),"",$C332/100*N(INDEX('Pro قاعدة الأغذية'!$J$5:$J$604,$S332)))</f>
        <v/>
      </c>
      <c r="I332" s="19" t="str">
        <f aca="false">IF(OR($S332="",N($C332)=0),"",$C332/100*N(INDEX('Pro قاعدة الأغذية'!$L$5:$L$604,$S332)))</f>
        <v/>
      </c>
      <c r="J332" s="30" t="str">
        <f aca="false">IF($S332="","",INDEX('Pro قاعدة الأغذية'!$E$5:$E$604,$S332))</f>
        <v/>
      </c>
      <c r="S332" s="31" t="str">
        <f aca="false">IF(B332="","",IFERROR(MATCH(B332,'Pro قاعدة الأغذية'!$C$5:$C$604,0),""))</f>
        <v/>
      </c>
    </row>
    <row r="333" customFormat="false" ht="15" hidden="false" customHeight="false" outlineLevel="0" collapsed="false">
      <c r="A333" s="24"/>
      <c r="B333" s="5"/>
      <c r="C333" s="18"/>
      <c r="D333" s="19" t="str">
        <f aca="false">IF(OR($S333="",N($C333)=0),"",$C333/100*N(INDEX('Pro قاعدة الأغذية'!$F$5:$F$604,$S333)))</f>
        <v/>
      </c>
      <c r="E333" s="22" t="str">
        <f aca="false">IF(OR($S333="",N($C333)=0),"",$C333/100*N(INDEX('Pro قاعدة الأغذية'!$G$5:$G$604,$S333)))</f>
        <v/>
      </c>
      <c r="F333" s="22" t="str">
        <f aca="false">IF(OR($S333="",N($C333)=0),"",$C333/100*N(INDEX('Pro قاعدة الأغذية'!$H$5:$H$604,$S333)))</f>
        <v/>
      </c>
      <c r="G333" s="22" t="str">
        <f aca="false">IF(OR($S333="",N($C333)=0),"",$C333/100*N(INDEX('Pro قاعدة الأغذية'!$I$5:$I$604,$S333)))</f>
        <v/>
      </c>
      <c r="H333" s="22" t="str">
        <f aca="false">IF(OR($S333="",N($C333)=0),"",$C333/100*N(INDEX('Pro قاعدة الأغذية'!$J$5:$J$604,$S333)))</f>
        <v/>
      </c>
      <c r="I333" s="19" t="str">
        <f aca="false">IF(OR($S333="",N($C333)=0),"",$C333/100*N(INDEX('Pro قاعدة الأغذية'!$L$5:$L$604,$S333)))</f>
        <v/>
      </c>
      <c r="J333" s="30" t="str">
        <f aca="false">IF($S333="","",INDEX('Pro قاعدة الأغذية'!$E$5:$E$604,$S333))</f>
        <v/>
      </c>
      <c r="S333" s="31" t="str">
        <f aca="false">IF(B333="","",IFERROR(MATCH(B333,'Pro قاعدة الأغذية'!$C$5:$C$604,0),""))</f>
        <v/>
      </c>
    </row>
    <row r="334" customFormat="false" ht="15" hidden="false" customHeight="false" outlineLevel="0" collapsed="false">
      <c r="A334" s="24"/>
      <c r="B334" s="5"/>
      <c r="C334" s="18"/>
      <c r="D334" s="19" t="str">
        <f aca="false">IF(OR($S334="",N($C334)=0),"",$C334/100*N(INDEX('Pro قاعدة الأغذية'!$F$5:$F$604,$S334)))</f>
        <v/>
      </c>
      <c r="E334" s="22" t="str">
        <f aca="false">IF(OR($S334="",N($C334)=0),"",$C334/100*N(INDEX('Pro قاعدة الأغذية'!$G$5:$G$604,$S334)))</f>
        <v/>
      </c>
      <c r="F334" s="22" t="str">
        <f aca="false">IF(OR($S334="",N($C334)=0),"",$C334/100*N(INDEX('Pro قاعدة الأغذية'!$H$5:$H$604,$S334)))</f>
        <v/>
      </c>
      <c r="G334" s="22" t="str">
        <f aca="false">IF(OR($S334="",N($C334)=0),"",$C334/100*N(INDEX('Pro قاعدة الأغذية'!$I$5:$I$604,$S334)))</f>
        <v/>
      </c>
      <c r="H334" s="22" t="str">
        <f aca="false">IF(OR($S334="",N($C334)=0),"",$C334/100*N(INDEX('Pro قاعدة الأغذية'!$J$5:$J$604,$S334)))</f>
        <v/>
      </c>
      <c r="I334" s="19" t="str">
        <f aca="false">IF(OR($S334="",N($C334)=0),"",$C334/100*N(INDEX('Pro قاعدة الأغذية'!$L$5:$L$604,$S334)))</f>
        <v/>
      </c>
      <c r="J334" s="30" t="str">
        <f aca="false">IF($S334="","",INDEX('Pro قاعدة الأغذية'!$E$5:$E$604,$S334))</f>
        <v/>
      </c>
      <c r="S334" s="31" t="str">
        <f aca="false">IF(B334="","",IFERROR(MATCH(B334,'Pro قاعدة الأغذية'!$C$5:$C$604,0),""))</f>
        <v/>
      </c>
    </row>
    <row r="335" customFormat="false" ht="15" hidden="false" customHeight="false" outlineLevel="0" collapsed="false">
      <c r="A335" s="24"/>
      <c r="B335" s="32" t="s">
        <v>91</v>
      </c>
      <c r="C335" s="33" t="n">
        <f aca="false">SUM(C329:C334)</f>
        <v>0</v>
      </c>
      <c r="D335" s="33" t="n">
        <f aca="false">SUM(D329:D334)</f>
        <v>0</v>
      </c>
      <c r="E335" s="33" t="n">
        <f aca="false">SUM(E329:E334)</f>
        <v>0</v>
      </c>
      <c r="F335" s="33" t="n">
        <f aca="false">SUM(F329:F334)</f>
        <v>0</v>
      </c>
      <c r="G335" s="33" t="n">
        <f aca="false">SUM(G329:G334)</f>
        <v>0</v>
      </c>
      <c r="H335" s="34" t="n">
        <f aca="false">SUM(H329:H334)</f>
        <v>0</v>
      </c>
      <c r="I335" s="33" t="n">
        <f aca="false">SUM(I329:I334)</f>
        <v>0</v>
      </c>
      <c r="K335" s="35" t="n">
        <f aca="false">IF(AND(('Pro إعدادات'!$C$38="نعم"),IF($T$292=1,'Pro إعدادات'!$G$39,'Pro إعدادات'!$D$39)&gt;0),'Pro ملف الرياضي'!$H$29*IF($T$292=1,'Pro إعدادات'!$G$38,'Pro إعدادات'!$D$38)/IF($T$292=1,'Pro إعدادات'!$G$39,'Pro إعدادات'!$D$39),0)</f>
        <v>0</v>
      </c>
      <c r="L335" s="35" t="n">
        <f aca="false">IF(AND(('Pro إعدادات'!$C$38="نعم"),IF($T$292=1,'Pro إعدادات'!$H$39,'Pro إعدادات'!$E$39)&gt;0),'Pro ملف الرياضي'!$I$29*IF($T$292=1,'Pro إعدادات'!$H$38,'Pro إعدادات'!$E$38)/IF($T$292=1,'Pro إعدادات'!$H$39,'Pro إعدادات'!$E$39),0)</f>
        <v>0</v>
      </c>
      <c r="M335" s="35" t="n">
        <f aca="false">IF(AND(('Pro إعدادات'!$C$38="نعم"),IF($T$292=1,'Pro إعدادات'!$I$39,'Pro إعدادات'!$F$39)&gt;0),'Pro ملف الرياضي'!$J$29*IF($T$292=1,'Pro إعدادات'!$I$38,'Pro إعدادات'!$F$38)/IF($T$292=1,'Pro إعدادات'!$I$39,'Pro إعدادات'!$F$39),0)</f>
        <v>0</v>
      </c>
      <c r="N335" s="35" t="n">
        <f aca="false">4*K335+4*L335+9*M335</f>
        <v>0</v>
      </c>
      <c r="O335" s="21" t="n">
        <f aca="false">E335-K335</f>
        <v>0</v>
      </c>
      <c r="P335" s="21" t="n">
        <f aca="false">F335-L335</f>
        <v>0</v>
      </c>
      <c r="Q335" s="21" t="n">
        <f aca="false">G335-M335</f>
        <v>0</v>
      </c>
    </row>
    <row r="336" customFormat="false" ht="17.35" hidden="false" customHeight="false" outlineLevel="0" collapsed="false">
      <c r="B336" s="36" t="s">
        <v>103</v>
      </c>
      <c r="C336" s="33" t="n">
        <f aca="false">C300+C307+C314+C321+C328+C335</f>
        <v>0</v>
      </c>
      <c r="D336" s="35" t="n">
        <f aca="false">D300+D307+D314+D321+D328+D335</f>
        <v>0</v>
      </c>
      <c r="E336" s="35" t="n">
        <f aca="false">E300+E307+E314+E321+E328+E335</f>
        <v>0</v>
      </c>
      <c r="F336" s="35" t="n">
        <f aca="false">F300+F307+F314+F321+F328+F335</f>
        <v>0</v>
      </c>
      <c r="G336" s="35" t="n">
        <f aca="false">G300+G307+G314+G321+G328+G335</f>
        <v>0</v>
      </c>
      <c r="H336" s="37" t="n">
        <f aca="false">H300+H307+H314+H321+H328+H335</f>
        <v>0</v>
      </c>
      <c r="I336" s="35" t="n">
        <f aca="false">I300+I307+I314+I321+I328+I335</f>
        <v>0</v>
      </c>
      <c r="K336" s="35" t="n">
        <f aca="false">K300+K307+K314+K321+K328+K335</f>
        <v>144</v>
      </c>
      <c r="L336" s="35" t="n">
        <f aca="false">L300+L307+L314+L321+L328+L335</f>
        <v>320</v>
      </c>
      <c r="M336" s="35" t="n">
        <f aca="false">M300+M307+M314+M321+M328+M335</f>
        <v>72</v>
      </c>
      <c r="N336" s="35" t="n">
        <f aca="false">N300+N307+N314+N321+N328+N335</f>
        <v>2504</v>
      </c>
    </row>
    <row r="337" customFormat="false" ht="15" hidden="false" customHeight="false" outlineLevel="0" collapsed="false">
      <c r="B337" s="32" t="s">
        <v>104</v>
      </c>
      <c r="D337" s="21" t="n">
        <f aca="false">D336-'Pro ملف الرياضي'!G29</f>
        <v>-2535.75</v>
      </c>
      <c r="E337" s="21" t="n">
        <f aca="false">E336-'Pro ملف الرياضي'!H29</f>
        <v>-144</v>
      </c>
      <c r="F337" s="21" t="n">
        <f aca="false">F336-'Pro ملف الرياضي'!I29</f>
        <v>-320</v>
      </c>
      <c r="G337" s="21" t="n">
        <f aca="false">G336-'Pro ملف الرياضي'!J29</f>
        <v>-72</v>
      </c>
    </row>
    <row r="338" customFormat="false" ht="15" hidden="false" customHeight="false" outlineLevel="0" collapsed="false">
      <c r="B338" s="32" t="s">
        <v>80</v>
      </c>
      <c r="D338" s="38" t="str">
        <f aca="false">IF(AND(ABS(E337)&lt;='Pro إعدادات'!$B$28*2,ABS(F337)&lt;='Pro إعدادات'!$B$28*3,ABS(G337)&lt;='Pro إعدادات'!$B$28*2),"✔ ضمن السماحية","◐ راجع الفروقات")</f>
        <v>◐ راجع الفروقات</v>
      </c>
    </row>
  </sheetData>
  <sheetProtection sheet="true" formatColumns="false" formatRows="false" sort="false" autoFilter="false"/>
  <mergeCells count="9">
    <mergeCell ref="A1:Q1"/>
    <mergeCell ref="A2:Q2"/>
    <mergeCell ref="A4:Q4"/>
    <mergeCell ref="A52:Q52"/>
    <mergeCell ref="A100:Q100"/>
    <mergeCell ref="A148:Q148"/>
    <mergeCell ref="A196:Q196"/>
    <mergeCell ref="A244:Q244"/>
    <mergeCell ref="A292:Q292"/>
  </mergeCells>
  <conditionalFormatting sqref="O4:Q340">
    <cfRule type="expression" priority="2" aboveAverage="0" equalAverage="0" bottom="0" percent="0" rank="0" text="" dxfId="1">
      <formula>AND(ISNUMBER(O4),ABS(O4)&lt;='Pro إعدادات'!$B$28)</formula>
    </cfRule>
    <cfRule type="expression" priority="3" aboveAverage="0" equalAverage="0" bottom="0" percent="0" rank="0" text="" dxfId="2">
      <formula>AND(ISNUMBER(O4),ABS(O4)&gt;'Pro إعدادات'!$B$28,ABS(O4)&lt;='Pro إعدادات'!$B$28*2)</formula>
    </cfRule>
    <cfRule type="expression" priority="4" aboveAverage="0" equalAverage="0" bottom="0" percent="0" rank="0" text="" dxfId="0">
      <formula>AND(ISNUMBER(O4),ABS(O4)&gt;'Pro إعدادات'!$B$28*2)</formula>
    </cfRule>
  </conditionalFormatting>
  <dataValidations count="42">
    <dataValidation allowBlank="true" errorStyle="stop" operator="between" showDropDown="false" showErrorMessage="false" showInputMessage="false" sqref="B6:B11" type="list">
      <formula1>'Pro قاعدة الأغذية'!$C$5:$C$604</formula1>
      <formula2>0</formula2>
    </dataValidation>
    <dataValidation allowBlank="true" errorStyle="stop" operator="between" showDropDown="false" showErrorMessage="false" showInputMessage="false" sqref="B13:B18" type="list">
      <formula1>'Pro قاعدة الأغذية'!$C$5:$C$604</formula1>
      <formula2>0</formula2>
    </dataValidation>
    <dataValidation allowBlank="true" errorStyle="stop" operator="between" showDropDown="false" showErrorMessage="false" showInputMessage="false" sqref="B20:B25" type="list">
      <formula1>'Pro قاعدة الأغذية'!$C$5:$C$604</formula1>
      <formula2>0</formula2>
    </dataValidation>
    <dataValidation allowBlank="true" errorStyle="stop" operator="between" showDropDown="false" showErrorMessage="false" showInputMessage="false" sqref="B27:B32" type="list">
      <formula1>'Pro قاعدة الأغذية'!$C$5:$C$604</formula1>
      <formula2>0</formula2>
    </dataValidation>
    <dataValidation allowBlank="true" errorStyle="stop" operator="between" showDropDown="false" showErrorMessage="false" showInputMessage="false" sqref="B34:B39" type="list">
      <formula1>'Pro قاعدة الأغذية'!$C$5:$C$604</formula1>
      <formula2>0</formula2>
    </dataValidation>
    <dataValidation allowBlank="true" errorStyle="stop" operator="between" showDropDown="false" showErrorMessage="false" showInputMessage="false" sqref="B41:B46" type="list">
      <formula1>'Pro قاعدة الأغذية'!$C$5:$C$604</formula1>
      <formula2>0</formula2>
    </dataValidation>
    <dataValidation allowBlank="true" errorStyle="stop" operator="between" showDropDown="false" showErrorMessage="false" showInputMessage="false" sqref="B54:B59" type="list">
      <formula1>'Pro قاعدة الأغذية'!$C$5:$C$604</formula1>
      <formula2>0</formula2>
    </dataValidation>
    <dataValidation allowBlank="true" errorStyle="stop" operator="between" showDropDown="false" showErrorMessage="false" showInputMessage="false" sqref="B61:B66" type="list">
      <formula1>'Pro قاعدة الأغذية'!$C$5:$C$604</formula1>
      <formula2>0</formula2>
    </dataValidation>
    <dataValidation allowBlank="true" errorStyle="stop" operator="between" showDropDown="false" showErrorMessage="false" showInputMessage="false" sqref="B68:B73" type="list">
      <formula1>'Pro قاعدة الأغذية'!$C$5:$C$604</formula1>
      <formula2>0</formula2>
    </dataValidation>
    <dataValidation allowBlank="true" errorStyle="stop" operator="between" showDropDown="false" showErrorMessage="false" showInputMessage="false" sqref="B75:B80" type="list">
      <formula1>'Pro قاعدة الأغذية'!$C$5:$C$604</formula1>
      <formula2>0</formula2>
    </dataValidation>
    <dataValidation allowBlank="true" errorStyle="stop" operator="between" showDropDown="false" showErrorMessage="false" showInputMessage="false" sqref="B82:B87" type="list">
      <formula1>'Pro قاعدة الأغذية'!$C$5:$C$604</formula1>
      <formula2>0</formula2>
    </dataValidation>
    <dataValidation allowBlank="true" errorStyle="stop" operator="between" showDropDown="false" showErrorMessage="false" showInputMessage="false" sqref="B89:B94" type="list">
      <formula1>'Pro قاعدة الأغذية'!$C$5:$C$604</formula1>
      <formula2>0</formula2>
    </dataValidation>
    <dataValidation allowBlank="true" errorStyle="stop" operator="between" showDropDown="false" showErrorMessage="false" showInputMessage="false" sqref="B102:B107" type="list">
      <formula1>'Pro قاعدة الأغذية'!$C$5:$C$604</formula1>
      <formula2>0</formula2>
    </dataValidation>
    <dataValidation allowBlank="true" errorStyle="stop" operator="between" showDropDown="false" showErrorMessage="false" showInputMessage="false" sqref="B109:B114" type="list">
      <formula1>'Pro قاعدة الأغذية'!$C$5:$C$604</formula1>
      <formula2>0</formula2>
    </dataValidation>
    <dataValidation allowBlank="true" errorStyle="stop" operator="between" showDropDown="false" showErrorMessage="false" showInputMessage="false" sqref="B116:B121" type="list">
      <formula1>'Pro قاعدة الأغذية'!$C$5:$C$604</formula1>
      <formula2>0</formula2>
    </dataValidation>
    <dataValidation allowBlank="true" errorStyle="stop" operator="between" showDropDown="false" showErrorMessage="false" showInputMessage="false" sqref="B123:B128" type="list">
      <formula1>'Pro قاعدة الأغذية'!$C$5:$C$604</formula1>
      <formula2>0</formula2>
    </dataValidation>
    <dataValidation allowBlank="true" errorStyle="stop" operator="between" showDropDown="false" showErrorMessage="false" showInputMessage="false" sqref="B130:B135" type="list">
      <formula1>'Pro قاعدة الأغذية'!$C$5:$C$604</formula1>
      <formula2>0</formula2>
    </dataValidation>
    <dataValidation allowBlank="true" errorStyle="stop" operator="between" showDropDown="false" showErrorMessage="false" showInputMessage="false" sqref="B137:B142" type="list">
      <formula1>'Pro قاعدة الأغذية'!$C$5:$C$604</formula1>
      <formula2>0</formula2>
    </dataValidation>
    <dataValidation allowBlank="true" errorStyle="stop" operator="between" showDropDown="false" showErrorMessage="false" showInputMessage="false" sqref="B150:B155" type="list">
      <formula1>'Pro قاعدة الأغذية'!$C$5:$C$604</formula1>
      <formula2>0</formula2>
    </dataValidation>
    <dataValidation allowBlank="true" errorStyle="stop" operator="between" showDropDown="false" showErrorMessage="false" showInputMessage="false" sqref="B157:B162" type="list">
      <formula1>'Pro قاعدة الأغذية'!$C$5:$C$604</formula1>
      <formula2>0</formula2>
    </dataValidation>
    <dataValidation allowBlank="true" errorStyle="stop" operator="between" showDropDown="false" showErrorMessage="false" showInputMessage="false" sqref="B164:B169" type="list">
      <formula1>'Pro قاعدة الأغذية'!$C$5:$C$604</formula1>
      <formula2>0</formula2>
    </dataValidation>
    <dataValidation allowBlank="true" errorStyle="stop" operator="between" showDropDown="false" showErrorMessage="false" showInputMessage="false" sqref="B171:B176" type="list">
      <formula1>'Pro قاعدة الأغذية'!$C$5:$C$604</formula1>
      <formula2>0</formula2>
    </dataValidation>
    <dataValidation allowBlank="true" errorStyle="stop" operator="between" showDropDown="false" showErrorMessage="false" showInputMessage="false" sqref="B178:B183" type="list">
      <formula1>'Pro قاعدة الأغذية'!$C$5:$C$604</formula1>
      <formula2>0</formula2>
    </dataValidation>
    <dataValidation allowBlank="true" errorStyle="stop" operator="between" showDropDown="false" showErrorMessage="false" showInputMessage="false" sqref="B185:B190" type="list">
      <formula1>'Pro قاعدة الأغذية'!$C$5:$C$604</formula1>
      <formula2>0</formula2>
    </dataValidation>
    <dataValidation allowBlank="true" errorStyle="stop" operator="between" showDropDown="false" showErrorMessage="false" showInputMessage="false" sqref="B198:B203" type="list">
      <formula1>'Pro قاعدة الأغذية'!$C$5:$C$604</formula1>
      <formula2>0</formula2>
    </dataValidation>
    <dataValidation allowBlank="true" errorStyle="stop" operator="between" showDropDown="false" showErrorMessage="false" showInputMessage="false" sqref="B205:B210" type="list">
      <formula1>'Pro قاعدة الأغذية'!$C$5:$C$604</formula1>
      <formula2>0</formula2>
    </dataValidation>
    <dataValidation allowBlank="true" errorStyle="stop" operator="between" showDropDown="false" showErrorMessage="false" showInputMessage="false" sqref="B212:B217" type="list">
      <formula1>'Pro قاعدة الأغذية'!$C$5:$C$604</formula1>
      <formula2>0</formula2>
    </dataValidation>
    <dataValidation allowBlank="true" errorStyle="stop" operator="between" showDropDown="false" showErrorMessage="false" showInputMessage="false" sqref="B219:B224" type="list">
      <formula1>'Pro قاعدة الأغذية'!$C$5:$C$604</formula1>
      <formula2>0</formula2>
    </dataValidation>
    <dataValidation allowBlank="true" errorStyle="stop" operator="between" showDropDown="false" showErrorMessage="false" showInputMessage="false" sqref="B226:B231" type="list">
      <formula1>'Pro قاعدة الأغذية'!$C$5:$C$604</formula1>
      <formula2>0</formula2>
    </dataValidation>
    <dataValidation allowBlank="true" errorStyle="stop" operator="between" showDropDown="false" showErrorMessage="false" showInputMessage="false" sqref="B233:B238" type="list">
      <formula1>'Pro قاعدة الأغذية'!$C$5:$C$604</formula1>
      <formula2>0</formula2>
    </dataValidation>
    <dataValidation allowBlank="true" errorStyle="stop" operator="between" showDropDown="false" showErrorMessage="false" showInputMessage="false" sqref="B246:B251" type="list">
      <formula1>'Pro قاعدة الأغذية'!$C$5:$C$604</formula1>
      <formula2>0</formula2>
    </dataValidation>
    <dataValidation allowBlank="true" errorStyle="stop" operator="between" showDropDown="false" showErrorMessage="false" showInputMessage="false" sqref="B253:B258" type="list">
      <formula1>'Pro قاعدة الأغذية'!$C$5:$C$604</formula1>
      <formula2>0</formula2>
    </dataValidation>
    <dataValidation allowBlank="true" errorStyle="stop" operator="between" showDropDown="false" showErrorMessage="false" showInputMessage="false" sqref="B260:B265" type="list">
      <formula1>'Pro قاعدة الأغذية'!$C$5:$C$604</formula1>
      <formula2>0</formula2>
    </dataValidation>
    <dataValidation allowBlank="true" errorStyle="stop" operator="between" showDropDown="false" showErrorMessage="false" showInputMessage="false" sqref="B267:B272" type="list">
      <formula1>'Pro قاعدة الأغذية'!$C$5:$C$604</formula1>
      <formula2>0</formula2>
    </dataValidation>
    <dataValidation allowBlank="true" errorStyle="stop" operator="between" showDropDown="false" showErrorMessage="false" showInputMessage="false" sqref="B274:B279" type="list">
      <formula1>'Pro قاعدة الأغذية'!$C$5:$C$604</formula1>
      <formula2>0</formula2>
    </dataValidation>
    <dataValidation allowBlank="true" errorStyle="stop" operator="between" showDropDown="false" showErrorMessage="false" showInputMessage="false" sqref="B281:B286" type="list">
      <formula1>'Pro قاعدة الأغذية'!$C$5:$C$604</formula1>
      <formula2>0</formula2>
    </dataValidation>
    <dataValidation allowBlank="true" errorStyle="stop" operator="between" showDropDown="false" showErrorMessage="false" showInputMessage="false" sqref="B294:B299" type="list">
      <formula1>'Pro قاعدة الأغذية'!$C$5:$C$604</formula1>
      <formula2>0</formula2>
    </dataValidation>
    <dataValidation allowBlank="true" errorStyle="stop" operator="between" showDropDown="false" showErrorMessage="false" showInputMessage="false" sqref="B301:B306" type="list">
      <formula1>'Pro قاعدة الأغذية'!$C$5:$C$604</formula1>
      <formula2>0</formula2>
    </dataValidation>
    <dataValidation allowBlank="true" errorStyle="stop" operator="between" showDropDown="false" showErrorMessage="false" showInputMessage="false" sqref="B308:B313" type="list">
      <formula1>'Pro قاعدة الأغذية'!$C$5:$C$604</formula1>
      <formula2>0</formula2>
    </dataValidation>
    <dataValidation allowBlank="true" errorStyle="stop" operator="between" showDropDown="false" showErrorMessage="false" showInputMessage="false" sqref="B315:B320" type="list">
      <formula1>'Pro قاعدة الأغذية'!$C$5:$C$604</formula1>
      <formula2>0</formula2>
    </dataValidation>
    <dataValidation allowBlank="true" errorStyle="stop" operator="between" showDropDown="false" showErrorMessage="false" showInputMessage="false" sqref="B322:B327" type="list">
      <formula1>'Pro قاعدة الأغذية'!$C$5:$C$604</formula1>
      <formula2>0</formula2>
    </dataValidation>
    <dataValidation allowBlank="true" errorStyle="stop" operator="between" showDropDown="false" showErrorMessage="false" showInputMessage="false" sqref="B329:B334" type="list">
      <formula1>'Pro قاعدة الأغذية'!$C$5:$C$604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5" min="2" style="0" width="26"/>
  </cols>
  <sheetData>
    <row r="1" customFormat="false" ht="30" hidden="false" customHeight="true" outlineLevel="0" collapsed="false">
      <c r="A1" s="1" t="s">
        <v>105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4" t="s">
        <v>106</v>
      </c>
      <c r="B2" s="4"/>
      <c r="C2" s="4"/>
      <c r="D2" s="4"/>
      <c r="E2" s="4"/>
      <c r="F2" s="4"/>
      <c r="G2" s="4"/>
      <c r="H2" s="4"/>
    </row>
    <row r="4" customFormat="false" ht="15" hidden="false" customHeight="false" outlineLevel="0" collapsed="false">
      <c r="A4" s="3" t="s">
        <v>107</v>
      </c>
      <c r="B4" s="18" t="n">
        <v>40</v>
      </c>
    </row>
    <row r="5" customFormat="false" ht="15" hidden="false" customHeight="false" outlineLevel="0" collapsed="false">
      <c r="A5" s="3" t="s">
        <v>108</v>
      </c>
      <c r="B5" s="18" t="n">
        <v>70</v>
      </c>
    </row>
    <row r="6" customFormat="false" ht="15" hidden="false" customHeight="false" outlineLevel="0" collapsed="false">
      <c r="A6" s="3" t="s">
        <v>109</v>
      </c>
      <c r="B6" s="18" t="n">
        <v>15</v>
      </c>
    </row>
    <row r="8" customFormat="false" ht="15" hidden="false" customHeight="false" outlineLevel="0" collapsed="false">
      <c r="A8" s="3" t="s">
        <v>110</v>
      </c>
      <c r="B8" s="5" t="s">
        <v>96</v>
      </c>
    </row>
    <row r="9" customFormat="false" ht="15" hidden="false" customHeight="false" outlineLevel="0" collapsed="false">
      <c r="A9" s="3" t="s">
        <v>111</v>
      </c>
      <c r="B9" s="5" t="s">
        <v>95</v>
      </c>
    </row>
    <row r="10" customFormat="false" ht="15" hidden="false" customHeight="false" outlineLevel="0" collapsed="false">
      <c r="A10" s="3" t="s">
        <v>112</v>
      </c>
      <c r="B10" s="5" t="s">
        <v>98</v>
      </c>
    </row>
    <row r="11" customFormat="false" ht="15" hidden="false" customHeight="false" outlineLevel="0" collapsed="false">
      <c r="A11" s="3" t="s">
        <v>113</v>
      </c>
      <c r="B11" s="5" t="s">
        <v>97</v>
      </c>
    </row>
    <row r="12" customFormat="false" ht="15" hidden="false" customHeight="false" outlineLevel="0" collapsed="false">
      <c r="A12" s="3" t="s">
        <v>114</v>
      </c>
      <c r="B12" s="18" t="n">
        <v>100</v>
      </c>
    </row>
    <row r="14" customFormat="false" ht="15" hidden="false" customHeight="false" outlineLevel="0" collapsed="false">
      <c r="A14" s="15"/>
      <c r="B14" s="15" t="s">
        <v>115</v>
      </c>
      <c r="C14" s="15" t="s">
        <v>116</v>
      </c>
      <c r="D14" s="15" t="s">
        <v>117</v>
      </c>
    </row>
    <row r="15" customFormat="false" ht="15" hidden="false" customHeight="false" outlineLevel="0" collapsed="false">
      <c r="A15" s="39" t="str">
        <f aca="false">B8</f>
        <v>صدر دجاج بلا جلد مشوي</v>
      </c>
      <c r="B15" s="40" t="n">
        <f aca="false">IFERROR(INDEX('Pro قاعدة الأغذية'!$G$5:$G$604,MATCH(B8,'Pro قاعدة الأغذية'!$C$5:$C$604,0))/100,0)</f>
        <v>0.31</v>
      </c>
      <c r="C15" s="40" t="n">
        <f aca="false">IFERROR(INDEX('Pro قاعدة الأغذية'!$H$5:$H$604,MATCH(B8,'Pro قاعدة الأغذية'!$C$5:$C$604,0))/100,0)</f>
        <v>0</v>
      </c>
      <c r="D15" s="40" t="n">
        <f aca="false">IFERROR(INDEX('Pro قاعدة الأغذية'!$I$5:$I$604,MATCH(B8,'Pro قاعدة الأغذية'!$C$5:$C$604,0))/100,0)</f>
        <v>0.0357</v>
      </c>
    </row>
    <row r="16" customFormat="false" ht="15" hidden="false" customHeight="false" outlineLevel="0" collapsed="false">
      <c r="A16" s="39" t="str">
        <f aca="false">B9</f>
        <v>أرز أبيض مطبوخ</v>
      </c>
      <c r="B16" s="40" t="n">
        <f aca="false">IFERROR(INDEX('Pro قاعدة الأغذية'!$G$5:$G$604,MATCH(B9,'Pro قاعدة الأغذية'!$C$5:$C$604,0))/100,0)</f>
        <v>0.0269</v>
      </c>
      <c r="C16" s="40" t="n">
        <f aca="false">IFERROR(INDEX('Pro قاعدة الأغذية'!$H$5:$H$604,MATCH(B9,'Pro قاعدة الأغذية'!$C$5:$C$604,0))/100,0)</f>
        <v>0.282</v>
      </c>
      <c r="D16" s="40" t="n">
        <f aca="false">IFERROR(INDEX('Pro قاعدة الأغذية'!$I$5:$I$604,MATCH(B9,'Pro قاعدة الأغذية'!$C$5:$C$604,0))/100,0)</f>
        <v>0.0028</v>
      </c>
    </row>
    <row r="17" customFormat="false" ht="15" hidden="false" customHeight="false" outlineLevel="0" collapsed="false">
      <c r="A17" s="39" t="str">
        <f aca="false">B10</f>
        <v>زيت زيتون</v>
      </c>
      <c r="B17" s="40" t="n">
        <f aca="false">IFERROR(INDEX('Pro قاعدة الأغذية'!$G$5:$G$604,MATCH(B10,'Pro قاعدة الأغذية'!$C$5:$C$604,0))/100,0)</f>
        <v>0</v>
      </c>
      <c r="C17" s="40" t="n">
        <f aca="false">IFERROR(INDEX('Pro قاعدة الأغذية'!$H$5:$H$604,MATCH(B10,'Pro قاعدة الأغذية'!$C$5:$C$604,0))/100,0)</f>
        <v>0</v>
      </c>
      <c r="D17" s="40" t="n">
        <f aca="false">IFERROR(INDEX('Pro قاعدة الأغذية'!$I$5:$I$604,MATCH(B10,'Pro قاعدة الأغذية'!$C$5:$C$604,0))/100,0)</f>
        <v>1</v>
      </c>
    </row>
    <row r="18" customFormat="false" ht="15" hidden="false" customHeight="false" outlineLevel="0" collapsed="false">
      <c r="A18" s="39" t="str">
        <f aca="false">B11</f>
        <v>بروكلي مسلوق</v>
      </c>
      <c r="B18" s="40" t="n">
        <f aca="false">IFERROR(INDEX('Pro قاعدة الأغذية'!$G$5:$G$604,MATCH(B11,'Pro قاعدة الأغذية'!$C$5:$C$604,0))/100,0)</f>
        <v>0.0238</v>
      </c>
      <c r="C18" s="40" t="n">
        <f aca="false">IFERROR(INDEX('Pro قاعدة الأغذية'!$H$5:$H$604,MATCH(B11,'Pro قاعدة الأغذية'!$C$5:$C$604,0))/100,0)</f>
        <v>0.0718</v>
      </c>
      <c r="D18" s="40" t="n">
        <f aca="false">IFERROR(INDEX('Pro قاعدة الأغذية'!$I$5:$I$604,MATCH(B11,'Pro قاعدة الأغذية'!$C$5:$C$604,0))/100,0)</f>
        <v>0.0041</v>
      </c>
    </row>
    <row r="19" customFormat="false" ht="15" hidden="false" customHeight="false" outlineLevel="0" collapsed="false">
      <c r="A19" s="15"/>
      <c r="B19" s="15" t="s">
        <v>118</v>
      </c>
      <c r="C19" s="15" t="s">
        <v>119</v>
      </c>
      <c r="D19" s="15" t="s">
        <v>120</v>
      </c>
    </row>
    <row r="20" customFormat="false" ht="15" hidden="false" customHeight="false" outlineLevel="0" collapsed="false">
      <c r="A20" s="14" t="s">
        <v>121</v>
      </c>
      <c r="B20" s="22" t="n">
        <f aca="false">B4-B12*B18</f>
        <v>37.62</v>
      </c>
      <c r="C20" s="22" t="n">
        <f aca="false">B5-B12*C18</f>
        <v>62.82</v>
      </c>
      <c r="D20" s="22" t="n">
        <f aca="false">B6-B12*D18</f>
        <v>14.59</v>
      </c>
    </row>
    <row r="22" customFormat="false" ht="15" hidden="false" customHeight="false" outlineLevel="0" collapsed="false">
      <c r="A22" s="16" t="s">
        <v>122</v>
      </c>
      <c r="B22" s="41" t="n">
        <f aca="false">(B15*(C16*D17-C17*D16)-B16*(C15*D17-C17*D15)+B17*(C15*D16-C16*D15))</f>
        <v>0.08742</v>
      </c>
    </row>
    <row r="23" customFormat="false" ht="15" hidden="false" customHeight="false" outlineLevel="0" collapsed="false">
      <c r="A23" s="16" t="s">
        <v>123</v>
      </c>
      <c r="B23" s="41" t="n">
        <f aca="false">(B20*(C16*D17-C17*D16)-B16*(C20*D17-C17*D20)+B17*(C20*D16-C16*D20))</f>
        <v>8.918982</v>
      </c>
      <c r="C23" s="41" t="n">
        <f aca="false">(B15*(C20*D17-C17*D20)-B20*(C15*D17-C17*D15)+B17*(C15*D20-C20*D15))</f>
        <v>19.4742</v>
      </c>
      <c r="D23" s="41" t="n">
        <f aca="false">(B15*(C16*D20-C20*D16)-B16*(C15*D20-C20*D15)+B20*(C15*D16-C16*D15))</f>
        <v>0.9025223826</v>
      </c>
    </row>
    <row r="25" customFormat="false" ht="17.35" hidden="false" customHeight="false" outlineLevel="0" collapsed="false">
      <c r="A25" s="36" t="s">
        <v>124</v>
      </c>
      <c r="B25" s="15" t="s">
        <v>110</v>
      </c>
      <c r="C25" s="15" t="s">
        <v>111</v>
      </c>
      <c r="D25" s="15" t="s">
        <v>112</v>
      </c>
      <c r="E25" s="15" t="s">
        <v>125</v>
      </c>
    </row>
    <row r="26" customFormat="false" ht="15" hidden="false" customHeight="false" outlineLevel="0" collapsed="false">
      <c r="A26" s="3" t="s">
        <v>126</v>
      </c>
      <c r="B26" s="35" t="n">
        <f aca="false">IF(ABS($B$22)&lt;0.0000001,"تعذّر الحل",IF(B23/$B$22&lt;0,"سالب — بدّل الأصناف",MROUND(B23/$B$22,5)))</f>
        <v>100</v>
      </c>
      <c r="C26" s="35" t="n">
        <f aca="false">IF(ABS($B$22)&lt;0.0000001,"تعذّر الحل",IF(C23/$B$22&lt;0,"سالب — بدّل الأصناف",MROUND(C23/$B$22,5)))</f>
        <v>225</v>
      </c>
      <c r="D26" s="35" t="n">
        <f aca="false">IF(ABS($B$22)&lt;0.0000001,"تعذّر الحل",IF(D23/$B$22&lt;0,"سالب — بدّل الأصناف",MROUND(D23/$B$22,5)))</f>
        <v>10</v>
      </c>
      <c r="E26" s="35" t="n">
        <f aca="false">B12</f>
        <v>100</v>
      </c>
    </row>
    <row r="27" customFormat="false" ht="15" hidden="false" customHeight="false" outlineLevel="0" collapsed="false">
      <c r="A27" s="3" t="s">
        <v>127</v>
      </c>
      <c r="B27" s="39" t="str">
        <f aca="false">B8</f>
        <v>صدر دجاج بلا جلد مشوي</v>
      </c>
      <c r="C27" s="39" t="str">
        <f aca="false">B9</f>
        <v>أرز أبيض مطبوخ</v>
      </c>
      <c r="D27" s="39" t="str">
        <f aca="false">B10</f>
        <v>زيت زيتون</v>
      </c>
      <c r="E27" s="39" t="str">
        <f aca="false">B11</f>
        <v>بروكلي مسلوق</v>
      </c>
    </row>
    <row r="29" customFormat="false" ht="15" hidden="false" customHeight="false" outlineLevel="0" collapsed="false">
      <c r="A29" s="14" t="s">
        <v>128</v>
      </c>
      <c r="B29" s="15" t="s">
        <v>118</v>
      </c>
      <c r="C29" s="15" t="s">
        <v>119</v>
      </c>
      <c r="D29" s="15" t="s">
        <v>120</v>
      </c>
      <c r="E29" s="15" t="s">
        <v>77</v>
      </c>
    </row>
    <row r="30" customFormat="false" ht="15" hidden="false" customHeight="false" outlineLevel="0" collapsed="false">
      <c r="A30" s="3" t="s">
        <v>129</v>
      </c>
      <c r="B30" s="42" t="n">
        <f aca="false">N(B26)*B15+N(C26)*B16+N(D26)*B17+E26*B18</f>
        <v>39.4325</v>
      </c>
      <c r="C30" s="42" t="n">
        <f aca="false">N(B26)*C15+N(C26)*C16+N(D26)*C17+E26*C18</f>
        <v>70.63</v>
      </c>
      <c r="D30" s="42" t="n">
        <f aca="false">N(B26)*D15+N(C26)*D16+N(D26)*D17+E26*D18</f>
        <v>14.61</v>
      </c>
      <c r="E30" s="20" t="n">
        <f aca="false">4*B30+4*C30+9*D30</f>
        <v>571.74</v>
      </c>
    </row>
    <row r="31" customFormat="false" ht="15" hidden="false" customHeight="false" outlineLevel="0" collapsed="false">
      <c r="A31" s="3" t="s">
        <v>130</v>
      </c>
      <c r="B31" s="43" t="n">
        <f aca="false">B30-B4</f>
        <v>-0.567499999999996</v>
      </c>
      <c r="C31" s="43" t="n">
        <f aca="false">C30-B5</f>
        <v>0.629999999999996</v>
      </c>
      <c r="D31" s="43" t="n">
        <f aca="false">D30-B6</f>
        <v>-0.390000000000001</v>
      </c>
    </row>
  </sheetData>
  <sheetProtection sheet="true" formatColumns="false" formatRows="false" sort="false" autoFilter="false"/>
  <mergeCells count="2">
    <mergeCell ref="A1:H1"/>
    <mergeCell ref="A2:H2"/>
  </mergeCells>
  <dataValidations count="1">
    <dataValidation allowBlank="true" errorStyle="stop" operator="between" showDropDown="false" showErrorMessage="false" showInputMessage="false" sqref="B8:B11" type="list">
      <formula1>'Pro قاعدة الأغذية'!$C$5:$C$604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04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6"/>
    <col collapsed="false" customWidth="true" hidden="false" outlineLevel="0" max="3" min="3" style="0" width="30"/>
    <col collapsed="false" customWidth="true" hidden="false" outlineLevel="0" max="4" min="4" style="0" width="46"/>
    <col collapsed="false" customWidth="true" hidden="false" outlineLevel="0" max="5" min="5" style="0" width="10"/>
    <col collapsed="false" customWidth="true" hidden="false" outlineLevel="0" max="7" min="6" style="0" width="9"/>
    <col collapsed="false" customWidth="true" hidden="false" outlineLevel="0" max="8" min="8" style="0" width="12"/>
    <col collapsed="false" customWidth="true" hidden="false" outlineLevel="0" max="11" min="9" style="0" width="9"/>
    <col collapsed="false" customWidth="true" hidden="false" outlineLevel="0" max="12" min="12" style="0" width="11"/>
    <col collapsed="false" customWidth="true" hidden="false" outlineLevel="0" max="13" min="13" style="0" width="44"/>
    <col collapsed="false" customWidth="true" hidden="false" outlineLevel="0" max="14" min="14" style="0" width="7"/>
  </cols>
  <sheetData>
    <row r="1" customFormat="false" ht="30" hidden="false" customHeight="true" outlineLevel="0" collapsed="false">
      <c r="A1" s="1" t="s">
        <v>131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33.75" hidden="false" customHeight="true" outlineLevel="0" collapsed="false">
      <c r="A2" s="4" t="s">
        <v>132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4" customFormat="false" ht="15" hidden="false" customHeight="false" outlineLevel="0" collapsed="false">
      <c r="A4" s="15" t="s">
        <v>133</v>
      </c>
      <c r="B4" s="15" t="s">
        <v>134</v>
      </c>
      <c r="C4" s="15" t="s">
        <v>10</v>
      </c>
      <c r="D4" s="15" t="s">
        <v>135</v>
      </c>
      <c r="E4" s="15" t="s">
        <v>80</v>
      </c>
      <c r="F4" s="15" t="s">
        <v>77</v>
      </c>
      <c r="G4" s="15" t="s">
        <v>38</v>
      </c>
      <c r="H4" s="15" t="s">
        <v>136</v>
      </c>
      <c r="I4" s="15" t="s">
        <v>40</v>
      </c>
      <c r="J4" s="15" t="s">
        <v>78</v>
      </c>
      <c r="K4" s="15" t="s">
        <v>137</v>
      </c>
      <c r="L4" s="15" t="s">
        <v>79</v>
      </c>
      <c r="M4" s="15" t="s">
        <v>138</v>
      </c>
      <c r="N4" s="15" t="s">
        <v>139</v>
      </c>
    </row>
    <row r="5" customFormat="false" ht="15" hidden="false" customHeight="false" outlineLevel="0" collapsed="false">
      <c r="A5" s="44" t="s">
        <v>140</v>
      </c>
      <c r="B5" s="45" t="s">
        <v>141</v>
      </c>
      <c r="C5" s="45" t="s">
        <v>95</v>
      </c>
      <c r="D5" s="44" t="s">
        <v>142</v>
      </c>
      <c r="E5" s="44" t="s">
        <v>143</v>
      </c>
      <c r="F5" s="46" t="n">
        <v>130</v>
      </c>
      <c r="G5" s="46" t="n">
        <v>2.69</v>
      </c>
      <c r="H5" s="46" t="n">
        <v>28.2</v>
      </c>
      <c r="I5" s="46" t="n">
        <v>0.28</v>
      </c>
      <c r="J5" s="46" t="n">
        <v>0.4</v>
      </c>
      <c r="K5" s="46" t="n">
        <v>0.05</v>
      </c>
      <c r="L5" s="46" t="n">
        <v>1</v>
      </c>
      <c r="M5" s="45" t="s">
        <v>144</v>
      </c>
      <c r="N5" s="44" t="s">
        <v>145</v>
      </c>
    </row>
    <row r="6" customFormat="false" ht="15" hidden="false" customHeight="false" outlineLevel="0" collapsed="false">
      <c r="A6" s="44" t="s">
        <v>146</v>
      </c>
      <c r="B6" s="45" t="s">
        <v>141</v>
      </c>
      <c r="C6" s="45" t="s">
        <v>147</v>
      </c>
      <c r="D6" s="44" t="s">
        <v>148</v>
      </c>
      <c r="E6" s="44" t="s">
        <v>149</v>
      </c>
      <c r="F6" s="46" t="n">
        <v>365</v>
      </c>
      <c r="G6" s="46" t="n">
        <v>7.13</v>
      </c>
      <c r="H6" s="46" t="n">
        <v>80</v>
      </c>
      <c r="I6" s="46" t="n">
        <v>0.66</v>
      </c>
      <c r="J6" s="46" t="n">
        <v>1.3</v>
      </c>
      <c r="K6" s="46" t="n">
        <v>0.12</v>
      </c>
      <c r="L6" s="46" t="n">
        <v>5</v>
      </c>
      <c r="M6" s="45" t="s">
        <v>150</v>
      </c>
      <c r="N6" s="44" t="s">
        <v>145</v>
      </c>
    </row>
    <row r="7" customFormat="false" ht="15" hidden="false" customHeight="false" outlineLevel="0" collapsed="false">
      <c r="A7" s="44" t="s">
        <v>151</v>
      </c>
      <c r="B7" s="45" t="s">
        <v>141</v>
      </c>
      <c r="C7" s="45" t="s">
        <v>152</v>
      </c>
      <c r="D7" s="44" t="s">
        <v>153</v>
      </c>
      <c r="E7" s="44" t="s">
        <v>143</v>
      </c>
      <c r="F7" s="46" t="n">
        <v>123</v>
      </c>
      <c r="G7" s="46" t="n">
        <v>2.74</v>
      </c>
      <c r="H7" s="46" t="n">
        <v>25.6</v>
      </c>
      <c r="I7" s="46" t="n">
        <v>0.97</v>
      </c>
      <c r="J7" s="46" t="n">
        <v>1.6</v>
      </c>
      <c r="K7" s="46" t="n">
        <v>0.24</v>
      </c>
      <c r="L7" s="46" t="n">
        <v>4</v>
      </c>
      <c r="M7" s="45" t="s">
        <v>154</v>
      </c>
      <c r="N7" s="44" t="s">
        <v>145</v>
      </c>
    </row>
    <row r="8" customFormat="false" ht="15" hidden="false" customHeight="false" outlineLevel="0" collapsed="false">
      <c r="A8" s="44" t="s">
        <v>155</v>
      </c>
      <c r="B8" s="45" t="s">
        <v>141</v>
      </c>
      <c r="C8" s="45" t="s">
        <v>156</v>
      </c>
      <c r="D8" s="44" t="s">
        <v>157</v>
      </c>
      <c r="E8" s="44" t="s">
        <v>149</v>
      </c>
      <c r="F8" s="46" t="n">
        <v>367</v>
      </c>
      <c r="G8" s="46" t="n">
        <v>7.54</v>
      </c>
      <c r="H8" s="46" t="n">
        <v>76.2</v>
      </c>
      <c r="I8" s="46" t="n">
        <v>3.2</v>
      </c>
      <c r="J8" s="46" t="n">
        <v>3.6</v>
      </c>
      <c r="K8" s="46" t="n">
        <v>0.66</v>
      </c>
      <c r="L8" s="46" t="n">
        <v>5</v>
      </c>
      <c r="M8" s="45" t="s">
        <v>158</v>
      </c>
      <c r="N8" s="44" t="s">
        <v>145</v>
      </c>
    </row>
    <row r="9" customFormat="false" ht="15" hidden="false" customHeight="false" outlineLevel="0" collapsed="false">
      <c r="A9" s="44" t="s">
        <v>159</v>
      </c>
      <c r="B9" s="45" t="s">
        <v>141</v>
      </c>
      <c r="C9" s="45" t="s">
        <v>160</v>
      </c>
      <c r="D9" s="44" t="s">
        <v>161</v>
      </c>
      <c r="E9" s="44" t="s">
        <v>143</v>
      </c>
      <c r="F9" s="46" t="n">
        <v>158</v>
      </c>
      <c r="G9" s="46" t="n">
        <v>5.8</v>
      </c>
      <c r="H9" s="46" t="n">
        <v>30.9</v>
      </c>
      <c r="I9" s="46" t="n">
        <v>0.93</v>
      </c>
      <c r="J9" s="46" t="n">
        <v>1.8</v>
      </c>
      <c r="K9" s="46" t="n">
        <v>0.56</v>
      </c>
      <c r="L9" s="46" t="n">
        <v>1</v>
      </c>
      <c r="M9" s="45" t="s">
        <v>162</v>
      </c>
      <c r="N9" s="44" t="s">
        <v>145</v>
      </c>
    </row>
    <row r="10" customFormat="false" ht="15" hidden="false" customHeight="false" outlineLevel="0" collapsed="false">
      <c r="A10" s="44" t="s">
        <v>163</v>
      </c>
      <c r="B10" s="45" t="s">
        <v>141</v>
      </c>
      <c r="C10" s="45" t="s">
        <v>164</v>
      </c>
      <c r="D10" s="44" t="s">
        <v>165</v>
      </c>
      <c r="E10" s="44" t="s">
        <v>166</v>
      </c>
      <c r="F10" s="46" t="n">
        <v>371</v>
      </c>
      <c r="G10" s="46" t="n">
        <v>13</v>
      </c>
      <c r="H10" s="46" t="n">
        <v>74.7</v>
      </c>
      <c r="I10" s="46" t="n">
        <v>1.51</v>
      </c>
      <c r="J10" s="46" t="n">
        <v>3.2</v>
      </c>
      <c r="K10" s="46" t="n">
        <v>2.67</v>
      </c>
      <c r="L10" s="46" t="n">
        <v>6</v>
      </c>
      <c r="M10" s="45" t="s">
        <v>167</v>
      </c>
      <c r="N10" s="44" t="s">
        <v>145</v>
      </c>
    </row>
    <row r="11" customFormat="false" ht="15" hidden="false" customHeight="false" outlineLevel="0" collapsed="false">
      <c r="A11" s="44" t="s">
        <v>168</v>
      </c>
      <c r="B11" s="45" t="s">
        <v>141</v>
      </c>
      <c r="C11" s="45" t="s">
        <v>169</v>
      </c>
      <c r="D11" s="44" t="s">
        <v>170</v>
      </c>
      <c r="E11" s="44" t="s">
        <v>143</v>
      </c>
      <c r="F11" s="46" t="n">
        <v>149</v>
      </c>
      <c r="G11" s="46" t="n">
        <v>5.99</v>
      </c>
      <c r="H11" s="46" t="n">
        <v>30.1</v>
      </c>
      <c r="I11" s="46" t="n">
        <v>1.71</v>
      </c>
      <c r="J11" s="46" t="n">
        <v>3.9</v>
      </c>
      <c r="K11" s="46" t="n">
        <v>0.75</v>
      </c>
      <c r="L11" s="46" t="n">
        <v>4</v>
      </c>
      <c r="M11" s="45" t="s">
        <v>171</v>
      </c>
      <c r="N11" s="44" t="s">
        <v>145</v>
      </c>
    </row>
    <row r="12" customFormat="false" ht="15" hidden="false" customHeight="false" outlineLevel="0" collapsed="false">
      <c r="A12" s="44" t="s">
        <v>172</v>
      </c>
      <c r="B12" s="45" t="s">
        <v>141</v>
      </c>
      <c r="C12" s="45" t="s">
        <v>173</v>
      </c>
      <c r="D12" s="44" t="s">
        <v>174</v>
      </c>
      <c r="E12" s="44" t="s">
        <v>143</v>
      </c>
      <c r="F12" s="46" t="n">
        <v>112</v>
      </c>
      <c r="G12" s="46" t="n">
        <v>3.79</v>
      </c>
      <c r="H12" s="46" t="n">
        <v>23.2</v>
      </c>
      <c r="I12" s="46" t="n">
        <v>0.16</v>
      </c>
      <c r="J12" s="46" t="n">
        <v>1.4</v>
      </c>
      <c r="K12" s="46" t="n">
        <v>0.1</v>
      </c>
      <c r="L12" s="46" t="n">
        <v>5</v>
      </c>
      <c r="M12" s="45" t="s">
        <v>175</v>
      </c>
      <c r="N12" s="44" t="s">
        <v>145</v>
      </c>
    </row>
    <row r="13" customFormat="false" ht="15" hidden="false" customHeight="false" outlineLevel="0" collapsed="false">
      <c r="A13" s="44" t="s">
        <v>176</v>
      </c>
      <c r="B13" s="45" t="s">
        <v>141</v>
      </c>
      <c r="C13" s="45" t="s">
        <v>177</v>
      </c>
      <c r="D13" s="44" t="s">
        <v>178</v>
      </c>
      <c r="E13" s="44" t="s">
        <v>143</v>
      </c>
      <c r="F13" s="46" t="n">
        <v>83</v>
      </c>
      <c r="G13" s="46" t="n">
        <v>3.08</v>
      </c>
      <c r="H13" s="46" t="n">
        <v>18.6</v>
      </c>
      <c r="I13" s="46" t="n">
        <v>0.24</v>
      </c>
      <c r="J13" s="46" t="n">
        <v>4.5</v>
      </c>
      <c r="K13" s="46" t="n">
        <v>0.1</v>
      </c>
      <c r="L13" s="46" t="n">
        <v>5</v>
      </c>
      <c r="M13" s="45" t="s">
        <v>179</v>
      </c>
      <c r="N13" s="44" t="s">
        <v>145</v>
      </c>
    </row>
    <row r="14" customFormat="false" ht="15" hidden="false" customHeight="false" outlineLevel="0" collapsed="false">
      <c r="A14" s="44" t="s">
        <v>180</v>
      </c>
      <c r="B14" s="45" t="s">
        <v>141</v>
      </c>
      <c r="C14" s="45" t="s">
        <v>181</v>
      </c>
      <c r="D14" s="44" t="s">
        <v>182</v>
      </c>
      <c r="E14" s="44" t="s">
        <v>166</v>
      </c>
      <c r="F14" s="46" t="n">
        <v>342</v>
      </c>
      <c r="G14" s="46" t="n">
        <v>12.3</v>
      </c>
      <c r="H14" s="46" t="n">
        <v>75.9</v>
      </c>
      <c r="I14" s="46" t="n">
        <v>1.33</v>
      </c>
      <c r="J14" s="46" t="n">
        <v>12.5</v>
      </c>
      <c r="K14" s="46" t="n">
        <v>0.41</v>
      </c>
      <c r="L14" s="46" t="n">
        <v>17</v>
      </c>
      <c r="M14" s="45" t="s">
        <v>183</v>
      </c>
      <c r="N14" s="44" t="s">
        <v>145</v>
      </c>
    </row>
    <row r="15" customFormat="false" ht="15" hidden="false" customHeight="false" outlineLevel="0" collapsed="false">
      <c r="A15" s="44" t="s">
        <v>184</v>
      </c>
      <c r="B15" s="45" t="s">
        <v>141</v>
      </c>
      <c r="C15" s="45" t="s">
        <v>185</v>
      </c>
      <c r="D15" s="44" t="s">
        <v>186</v>
      </c>
      <c r="E15" s="44" t="s">
        <v>143</v>
      </c>
      <c r="F15" s="46" t="n">
        <v>120</v>
      </c>
      <c r="G15" s="46" t="n">
        <v>4.4</v>
      </c>
      <c r="H15" s="46" t="n">
        <v>21.3</v>
      </c>
      <c r="I15" s="46" t="n">
        <v>1.92</v>
      </c>
      <c r="J15" s="46" t="n">
        <v>2.8</v>
      </c>
      <c r="K15" s="46" t="n">
        <v>0.87</v>
      </c>
      <c r="L15" s="46" t="n">
        <v>7</v>
      </c>
      <c r="M15" s="45" t="s">
        <v>187</v>
      </c>
      <c r="N15" s="44" t="s">
        <v>145</v>
      </c>
    </row>
    <row r="16" customFormat="false" ht="15" hidden="false" customHeight="false" outlineLevel="0" collapsed="false">
      <c r="A16" s="44" t="s">
        <v>188</v>
      </c>
      <c r="B16" s="45" t="s">
        <v>141</v>
      </c>
      <c r="C16" s="45" t="s">
        <v>88</v>
      </c>
      <c r="D16" s="44" t="s">
        <v>189</v>
      </c>
      <c r="E16" s="44" t="s">
        <v>166</v>
      </c>
      <c r="F16" s="46" t="n">
        <v>379</v>
      </c>
      <c r="G16" s="46" t="n">
        <v>13.2</v>
      </c>
      <c r="H16" s="46" t="n">
        <v>67.7</v>
      </c>
      <c r="I16" s="46" t="n">
        <v>6.52</v>
      </c>
      <c r="J16" s="46" t="n">
        <v>10.1</v>
      </c>
      <c r="K16" s="46" t="n">
        <v>0.99</v>
      </c>
      <c r="L16" s="46" t="n">
        <v>6</v>
      </c>
      <c r="M16" s="45" t="s">
        <v>190</v>
      </c>
      <c r="N16" s="44" t="s">
        <v>145</v>
      </c>
    </row>
    <row r="17" customFormat="false" ht="15" hidden="false" customHeight="false" outlineLevel="0" collapsed="false">
      <c r="A17" s="44" t="s">
        <v>191</v>
      </c>
      <c r="B17" s="45" t="s">
        <v>141</v>
      </c>
      <c r="C17" s="45" t="s">
        <v>192</v>
      </c>
      <c r="D17" s="44" t="s">
        <v>193</v>
      </c>
      <c r="E17" s="44" t="s">
        <v>143</v>
      </c>
      <c r="F17" s="46" t="n">
        <v>71</v>
      </c>
      <c r="G17" s="46" t="n">
        <v>2.54</v>
      </c>
      <c r="H17" s="46" t="n">
        <v>12</v>
      </c>
      <c r="I17" s="46" t="n">
        <v>1.52</v>
      </c>
      <c r="J17" s="46" t="n">
        <v>1.7</v>
      </c>
      <c r="K17" s="46" t="n">
        <v>0.27</v>
      </c>
      <c r="L17" s="46" t="n">
        <v>4</v>
      </c>
      <c r="M17" s="45" t="s">
        <v>194</v>
      </c>
      <c r="N17" s="44" t="s">
        <v>145</v>
      </c>
    </row>
    <row r="18" customFormat="false" ht="15" hidden="false" customHeight="false" outlineLevel="0" collapsed="false">
      <c r="A18" s="44" t="s">
        <v>195</v>
      </c>
      <c r="B18" s="45" t="s">
        <v>141</v>
      </c>
      <c r="C18" s="45" t="s">
        <v>196</v>
      </c>
      <c r="D18" s="44" t="s">
        <v>197</v>
      </c>
      <c r="E18" s="44" t="s">
        <v>198</v>
      </c>
      <c r="F18" s="46" t="n">
        <v>266</v>
      </c>
      <c r="G18" s="46" t="n">
        <v>8.85</v>
      </c>
      <c r="H18" s="46" t="n">
        <v>49.4</v>
      </c>
      <c r="I18" s="46" t="n">
        <v>3.33</v>
      </c>
      <c r="J18" s="46" t="n">
        <v>2.7</v>
      </c>
      <c r="K18" s="46" t="n">
        <v>5.67</v>
      </c>
      <c r="L18" s="46" t="n">
        <v>490</v>
      </c>
      <c r="M18" s="45" t="s">
        <v>199</v>
      </c>
      <c r="N18" s="44" t="s">
        <v>145</v>
      </c>
    </row>
    <row r="19" customFormat="false" ht="15" hidden="false" customHeight="false" outlineLevel="0" collapsed="false">
      <c r="A19" s="44" t="s">
        <v>200</v>
      </c>
      <c r="B19" s="45" t="s">
        <v>141</v>
      </c>
      <c r="C19" s="45" t="s">
        <v>201</v>
      </c>
      <c r="D19" s="44" t="s">
        <v>202</v>
      </c>
      <c r="E19" s="44" t="s">
        <v>198</v>
      </c>
      <c r="F19" s="46" t="n">
        <v>252</v>
      </c>
      <c r="G19" s="46" t="n">
        <v>12.4</v>
      </c>
      <c r="H19" s="46" t="n">
        <v>42.7</v>
      </c>
      <c r="I19" s="46" t="n">
        <v>3.5</v>
      </c>
      <c r="J19" s="46" t="n">
        <v>6</v>
      </c>
      <c r="K19" s="46" t="n">
        <v>4.34</v>
      </c>
      <c r="L19" s="46" t="n">
        <v>455</v>
      </c>
      <c r="M19" s="45" t="s">
        <v>203</v>
      </c>
      <c r="N19" s="44" t="s">
        <v>145</v>
      </c>
    </row>
    <row r="20" customFormat="false" ht="15" hidden="false" customHeight="false" outlineLevel="0" collapsed="false">
      <c r="A20" s="44" t="s">
        <v>204</v>
      </c>
      <c r="B20" s="45" t="s">
        <v>141</v>
      </c>
      <c r="C20" s="45" t="s">
        <v>92</v>
      </c>
      <c r="D20" s="44" t="s">
        <v>205</v>
      </c>
      <c r="E20" s="44" t="s">
        <v>198</v>
      </c>
      <c r="F20" s="46" t="n">
        <v>275</v>
      </c>
      <c r="G20" s="46" t="n">
        <v>9.1</v>
      </c>
      <c r="H20" s="46" t="n">
        <v>55.7</v>
      </c>
      <c r="I20" s="46" t="n">
        <v>1.2</v>
      </c>
      <c r="J20" s="46" t="n">
        <v>2.2</v>
      </c>
      <c r="K20" s="46" t="n">
        <v>1.3</v>
      </c>
      <c r="L20" s="46" t="n">
        <v>536</v>
      </c>
      <c r="M20" s="45" t="s">
        <v>206</v>
      </c>
      <c r="N20" s="44" t="s">
        <v>145</v>
      </c>
    </row>
    <row r="21" customFormat="false" ht="15" hidden="false" customHeight="false" outlineLevel="0" collapsed="false">
      <c r="A21" s="44" t="s">
        <v>207</v>
      </c>
      <c r="B21" s="45" t="s">
        <v>141</v>
      </c>
      <c r="C21" s="45" t="s">
        <v>208</v>
      </c>
      <c r="D21" s="44" t="s">
        <v>209</v>
      </c>
      <c r="E21" s="44" t="s">
        <v>198</v>
      </c>
      <c r="F21" s="46" t="n">
        <v>262</v>
      </c>
      <c r="G21" s="46" t="n">
        <v>9.8</v>
      </c>
      <c r="H21" s="46" t="n">
        <v>55.9</v>
      </c>
      <c r="I21" s="46" t="n">
        <v>1.71</v>
      </c>
      <c r="J21" s="46" t="n">
        <v>6.1</v>
      </c>
      <c r="K21" s="46" t="n">
        <v>2.87</v>
      </c>
      <c r="L21" s="46" t="n">
        <v>421</v>
      </c>
      <c r="M21" s="45" t="s">
        <v>210</v>
      </c>
      <c r="N21" s="44" t="s">
        <v>145</v>
      </c>
    </row>
    <row r="22" customFormat="false" ht="15" hidden="false" customHeight="false" outlineLevel="0" collapsed="false">
      <c r="A22" s="44" t="s">
        <v>211</v>
      </c>
      <c r="B22" s="45" t="s">
        <v>141</v>
      </c>
      <c r="C22" s="45" t="s">
        <v>212</v>
      </c>
      <c r="D22" s="44" t="s">
        <v>213</v>
      </c>
      <c r="E22" s="44" t="s">
        <v>198</v>
      </c>
      <c r="F22" s="46" t="n">
        <v>325</v>
      </c>
      <c r="G22" s="46" t="n">
        <v>8.7</v>
      </c>
      <c r="H22" s="46" t="n">
        <v>55.6</v>
      </c>
      <c r="I22" s="46" t="n">
        <v>7.1</v>
      </c>
      <c r="J22" s="46" t="n">
        <v>3.3</v>
      </c>
      <c r="K22" s="46"/>
      <c r="L22" s="46" t="n">
        <v>478</v>
      </c>
      <c r="M22" s="45" t="s">
        <v>214</v>
      </c>
      <c r="N22" s="44" t="s">
        <v>145</v>
      </c>
    </row>
    <row r="23" customFormat="false" ht="15" hidden="false" customHeight="false" outlineLevel="0" collapsed="false">
      <c r="A23" s="44" t="s">
        <v>215</v>
      </c>
      <c r="B23" s="45" t="s">
        <v>141</v>
      </c>
      <c r="C23" s="45" t="s">
        <v>216</v>
      </c>
      <c r="D23" s="44" t="s">
        <v>217</v>
      </c>
      <c r="E23" s="44" t="s">
        <v>143</v>
      </c>
      <c r="F23" s="46" t="n">
        <v>86</v>
      </c>
      <c r="G23" s="46" t="n">
        <v>1.71</v>
      </c>
      <c r="H23" s="46" t="n">
        <v>20</v>
      </c>
      <c r="I23" s="46" t="n">
        <v>0.1</v>
      </c>
      <c r="J23" s="46" t="n">
        <v>1.8</v>
      </c>
      <c r="K23" s="46" t="n">
        <v>0.89</v>
      </c>
      <c r="L23" s="46" t="n">
        <v>5</v>
      </c>
      <c r="M23" s="45" t="s">
        <v>218</v>
      </c>
      <c r="N23" s="44" t="s">
        <v>145</v>
      </c>
    </row>
    <row r="24" customFormat="false" ht="15" hidden="false" customHeight="false" outlineLevel="0" collapsed="false">
      <c r="A24" s="44" t="s">
        <v>219</v>
      </c>
      <c r="B24" s="45" t="s">
        <v>141</v>
      </c>
      <c r="C24" s="45" t="s">
        <v>220</v>
      </c>
      <c r="D24" s="44" t="s">
        <v>221</v>
      </c>
      <c r="E24" s="44" t="s">
        <v>143</v>
      </c>
      <c r="F24" s="46" t="n">
        <v>93</v>
      </c>
      <c r="G24" s="46" t="n">
        <v>2.5</v>
      </c>
      <c r="H24" s="46" t="n">
        <v>21.2</v>
      </c>
      <c r="I24" s="46" t="n">
        <v>0.13</v>
      </c>
      <c r="J24" s="46" t="n">
        <v>2.2</v>
      </c>
      <c r="K24" s="46" t="n">
        <v>1.18</v>
      </c>
      <c r="L24" s="46" t="n">
        <v>10</v>
      </c>
      <c r="M24" s="45" t="s">
        <v>222</v>
      </c>
      <c r="N24" s="44" t="s">
        <v>145</v>
      </c>
    </row>
    <row r="25" customFormat="false" ht="15" hidden="false" customHeight="false" outlineLevel="0" collapsed="false">
      <c r="A25" s="44" t="s">
        <v>223</v>
      </c>
      <c r="B25" s="45" t="s">
        <v>141</v>
      </c>
      <c r="C25" s="45" t="s">
        <v>100</v>
      </c>
      <c r="D25" s="44" t="s">
        <v>224</v>
      </c>
      <c r="E25" s="44" t="s">
        <v>143</v>
      </c>
      <c r="F25" s="46" t="n">
        <v>90</v>
      </c>
      <c r="G25" s="46" t="n">
        <v>2.01</v>
      </c>
      <c r="H25" s="46" t="n">
        <v>20.7</v>
      </c>
      <c r="I25" s="46" t="n">
        <v>0.15</v>
      </c>
      <c r="J25" s="46" t="n">
        <v>3.3</v>
      </c>
      <c r="K25" s="46" t="n">
        <v>6.48</v>
      </c>
      <c r="L25" s="46" t="n">
        <v>36</v>
      </c>
      <c r="M25" s="45" t="s">
        <v>225</v>
      </c>
      <c r="N25" s="44" t="s">
        <v>145</v>
      </c>
    </row>
    <row r="26" customFormat="false" ht="15" hidden="false" customHeight="false" outlineLevel="0" collapsed="false">
      <c r="A26" s="44" t="s">
        <v>226</v>
      </c>
      <c r="B26" s="45" t="s">
        <v>141</v>
      </c>
      <c r="C26" s="45" t="s">
        <v>227</v>
      </c>
      <c r="D26" s="44" t="s">
        <v>228</v>
      </c>
      <c r="E26" s="44" t="s">
        <v>143</v>
      </c>
      <c r="F26" s="46" t="n">
        <v>76</v>
      </c>
      <c r="G26" s="46" t="n">
        <v>1.37</v>
      </c>
      <c r="H26" s="46" t="n">
        <v>17.7</v>
      </c>
      <c r="I26" s="46" t="n">
        <v>0.14</v>
      </c>
      <c r="J26" s="46" t="n">
        <v>2.5</v>
      </c>
      <c r="K26" s="46" t="n">
        <v>5.74</v>
      </c>
      <c r="L26" s="46" t="n">
        <v>27</v>
      </c>
      <c r="M26" s="45" t="s">
        <v>229</v>
      </c>
      <c r="N26" s="44" t="s">
        <v>145</v>
      </c>
    </row>
    <row r="27" customFormat="false" ht="15" hidden="false" customHeight="false" outlineLevel="0" collapsed="false">
      <c r="A27" s="44" t="s">
        <v>230</v>
      </c>
      <c r="B27" s="45" t="s">
        <v>141</v>
      </c>
      <c r="C27" s="45" t="s">
        <v>231</v>
      </c>
      <c r="D27" s="44" t="s">
        <v>232</v>
      </c>
      <c r="E27" s="44" t="s">
        <v>143</v>
      </c>
      <c r="F27" s="46" t="n">
        <v>96</v>
      </c>
      <c r="G27" s="46" t="n">
        <v>3.41</v>
      </c>
      <c r="H27" s="46" t="n">
        <v>21</v>
      </c>
      <c r="I27" s="46" t="n">
        <v>1.5</v>
      </c>
      <c r="J27" s="46" t="n">
        <v>2.4</v>
      </c>
      <c r="K27" s="46" t="n">
        <v>4.54</v>
      </c>
      <c r="L27" s="46" t="n">
        <v>1</v>
      </c>
      <c r="M27" s="45" t="s">
        <v>233</v>
      </c>
      <c r="N27" s="44" t="s">
        <v>145</v>
      </c>
    </row>
    <row r="28" customFormat="false" ht="15" hidden="false" customHeight="false" outlineLevel="0" collapsed="false">
      <c r="A28" s="44" t="s">
        <v>234</v>
      </c>
      <c r="B28" s="45" t="s">
        <v>141</v>
      </c>
      <c r="C28" s="45" t="s">
        <v>235</v>
      </c>
      <c r="D28" s="44" t="s">
        <v>236</v>
      </c>
      <c r="E28" s="44" t="s">
        <v>198</v>
      </c>
      <c r="F28" s="46" t="n">
        <v>384</v>
      </c>
      <c r="G28" s="46" t="n">
        <v>5.9</v>
      </c>
      <c r="H28" s="46" t="n">
        <v>88</v>
      </c>
      <c r="I28" s="46" t="n">
        <v>0.91</v>
      </c>
      <c r="J28" s="46" t="n">
        <v>2.7</v>
      </c>
      <c r="K28" s="46" t="n">
        <v>7.84</v>
      </c>
      <c r="L28" s="46" t="n">
        <v>571</v>
      </c>
      <c r="M28" s="45" t="s">
        <v>237</v>
      </c>
      <c r="N28" s="44" t="s">
        <v>145</v>
      </c>
    </row>
    <row r="29" customFormat="false" ht="15" hidden="false" customHeight="false" outlineLevel="0" collapsed="false">
      <c r="A29" s="44" t="s">
        <v>238</v>
      </c>
      <c r="B29" s="45" t="s">
        <v>239</v>
      </c>
      <c r="C29" s="45" t="s">
        <v>240</v>
      </c>
      <c r="D29" s="44" t="s">
        <v>241</v>
      </c>
      <c r="E29" s="44" t="s">
        <v>143</v>
      </c>
      <c r="F29" s="46" t="n">
        <v>116</v>
      </c>
      <c r="G29" s="46" t="n">
        <v>9.02</v>
      </c>
      <c r="H29" s="46" t="n">
        <v>20.1</v>
      </c>
      <c r="I29" s="46" t="n">
        <v>0.38</v>
      </c>
      <c r="J29" s="46" t="n">
        <v>7.9</v>
      </c>
      <c r="K29" s="46" t="n">
        <v>1.8</v>
      </c>
      <c r="L29" s="46" t="n">
        <v>2</v>
      </c>
      <c r="M29" s="45" t="s">
        <v>242</v>
      </c>
      <c r="N29" s="44" t="s">
        <v>145</v>
      </c>
    </row>
    <row r="30" customFormat="false" ht="15" hidden="false" customHeight="false" outlineLevel="0" collapsed="false">
      <c r="A30" s="44" t="s">
        <v>243</v>
      </c>
      <c r="B30" s="45" t="s">
        <v>239</v>
      </c>
      <c r="C30" s="45" t="s">
        <v>244</v>
      </c>
      <c r="D30" s="44" t="s">
        <v>245</v>
      </c>
      <c r="E30" s="44" t="s">
        <v>149</v>
      </c>
      <c r="F30" s="46" t="n">
        <v>352</v>
      </c>
      <c r="G30" s="46" t="n">
        <v>24.6</v>
      </c>
      <c r="H30" s="46" t="n">
        <v>63.4</v>
      </c>
      <c r="I30" s="46" t="n">
        <v>1.06</v>
      </c>
      <c r="J30" s="46" t="n">
        <v>10.7</v>
      </c>
      <c r="K30" s="46" t="n">
        <v>2.03</v>
      </c>
      <c r="L30" s="46" t="n">
        <v>6</v>
      </c>
      <c r="M30" s="45" t="s">
        <v>246</v>
      </c>
      <c r="N30" s="44" t="s">
        <v>145</v>
      </c>
    </row>
    <row r="31" customFormat="false" ht="15" hidden="false" customHeight="false" outlineLevel="0" collapsed="false">
      <c r="A31" s="44" t="s">
        <v>247</v>
      </c>
      <c r="B31" s="45" t="s">
        <v>239</v>
      </c>
      <c r="C31" s="45" t="s">
        <v>248</v>
      </c>
      <c r="D31" s="44" t="s">
        <v>249</v>
      </c>
      <c r="E31" s="44" t="s">
        <v>143</v>
      </c>
      <c r="F31" s="46" t="n">
        <v>164</v>
      </c>
      <c r="G31" s="46" t="n">
        <v>8.86</v>
      </c>
      <c r="H31" s="46" t="n">
        <v>27.4</v>
      </c>
      <c r="I31" s="46" t="n">
        <v>2.59</v>
      </c>
      <c r="J31" s="46" t="n">
        <v>7.6</v>
      </c>
      <c r="K31" s="46" t="n">
        <v>4.8</v>
      </c>
      <c r="L31" s="46" t="n">
        <v>7</v>
      </c>
      <c r="M31" s="45" t="s">
        <v>250</v>
      </c>
      <c r="N31" s="44" t="s">
        <v>145</v>
      </c>
    </row>
    <row r="32" customFormat="false" ht="15" hidden="false" customHeight="false" outlineLevel="0" collapsed="false">
      <c r="A32" s="44" t="s">
        <v>251</v>
      </c>
      <c r="B32" s="45" t="s">
        <v>239</v>
      </c>
      <c r="C32" s="45" t="s">
        <v>252</v>
      </c>
      <c r="D32" s="44" t="s">
        <v>253</v>
      </c>
      <c r="E32" s="44" t="s">
        <v>143</v>
      </c>
      <c r="F32" s="46" t="n">
        <v>127</v>
      </c>
      <c r="G32" s="46" t="n">
        <v>8.67</v>
      </c>
      <c r="H32" s="46" t="n">
        <v>22.8</v>
      </c>
      <c r="I32" s="46" t="n">
        <v>0.5</v>
      </c>
      <c r="J32" s="46" t="n">
        <v>7.4</v>
      </c>
      <c r="K32" s="46" t="n">
        <v>0.32</v>
      </c>
      <c r="L32" s="46" t="n">
        <v>2</v>
      </c>
      <c r="M32" s="45" t="s">
        <v>254</v>
      </c>
      <c r="N32" s="44" t="s">
        <v>145</v>
      </c>
    </row>
    <row r="33" customFormat="false" ht="15" hidden="false" customHeight="false" outlineLevel="0" collapsed="false">
      <c r="A33" s="44" t="s">
        <v>255</v>
      </c>
      <c r="B33" s="45" t="s">
        <v>239</v>
      </c>
      <c r="C33" s="45" t="s">
        <v>256</v>
      </c>
      <c r="D33" s="44" t="s">
        <v>257</v>
      </c>
      <c r="E33" s="44" t="s">
        <v>143</v>
      </c>
      <c r="F33" s="46" t="n">
        <v>132</v>
      </c>
      <c r="G33" s="46" t="n">
        <v>8.86</v>
      </c>
      <c r="H33" s="46" t="n">
        <v>23.7</v>
      </c>
      <c r="I33" s="46" t="n">
        <v>0.54</v>
      </c>
      <c r="J33" s="46" t="n">
        <v>8.7</v>
      </c>
      <c r="K33" s="46" t="n">
        <v>0.32</v>
      </c>
      <c r="L33" s="46" t="n">
        <v>1</v>
      </c>
      <c r="M33" s="45" t="s">
        <v>258</v>
      </c>
      <c r="N33" s="44" t="s">
        <v>145</v>
      </c>
    </row>
    <row r="34" customFormat="false" ht="15" hidden="false" customHeight="false" outlineLevel="0" collapsed="false">
      <c r="A34" s="44" t="s">
        <v>259</v>
      </c>
      <c r="B34" s="45" t="s">
        <v>239</v>
      </c>
      <c r="C34" s="45" t="s">
        <v>260</v>
      </c>
      <c r="D34" s="44" t="s">
        <v>261</v>
      </c>
      <c r="E34" s="44" t="s">
        <v>143</v>
      </c>
      <c r="F34" s="46" t="n">
        <v>139</v>
      </c>
      <c r="G34" s="46" t="n">
        <v>9.73</v>
      </c>
      <c r="H34" s="46" t="n">
        <v>25.1</v>
      </c>
      <c r="I34" s="46" t="n">
        <v>0.35</v>
      </c>
      <c r="J34" s="46" t="n">
        <v>6.3</v>
      </c>
      <c r="K34" s="46" t="n">
        <v>0.34</v>
      </c>
      <c r="L34" s="46" t="n">
        <v>6</v>
      </c>
      <c r="M34" s="45" t="s">
        <v>262</v>
      </c>
      <c r="N34" s="44" t="s">
        <v>145</v>
      </c>
    </row>
    <row r="35" customFormat="false" ht="15" hidden="false" customHeight="false" outlineLevel="0" collapsed="false">
      <c r="A35" s="44" t="s">
        <v>263</v>
      </c>
      <c r="B35" s="45" t="s">
        <v>239</v>
      </c>
      <c r="C35" s="45" t="s">
        <v>264</v>
      </c>
      <c r="D35" s="44" t="s">
        <v>265</v>
      </c>
      <c r="E35" s="44" t="s">
        <v>143</v>
      </c>
      <c r="F35" s="46" t="n">
        <v>110</v>
      </c>
      <c r="G35" s="46" t="n">
        <v>7.6</v>
      </c>
      <c r="H35" s="46" t="n">
        <v>19.6</v>
      </c>
      <c r="I35" s="46" t="n">
        <v>0.4</v>
      </c>
      <c r="J35" s="46" t="n">
        <v>5.4</v>
      </c>
      <c r="K35" s="46" t="n">
        <v>1.82</v>
      </c>
      <c r="L35" s="46" t="n">
        <v>5</v>
      </c>
      <c r="M35" s="45" t="s">
        <v>266</v>
      </c>
      <c r="N35" s="44" t="s">
        <v>145</v>
      </c>
    </row>
    <row r="36" customFormat="false" ht="15" hidden="false" customHeight="false" outlineLevel="0" collapsed="false">
      <c r="A36" s="44" t="s">
        <v>267</v>
      </c>
      <c r="B36" s="45" t="s">
        <v>239</v>
      </c>
      <c r="C36" s="45" t="s">
        <v>268</v>
      </c>
      <c r="D36" s="44" t="s">
        <v>269</v>
      </c>
      <c r="E36" s="44" t="s">
        <v>143</v>
      </c>
      <c r="F36" s="46" t="n">
        <v>116</v>
      </c>
      <c r="G36" s="46" t="n">
        <v>7.73</v>
      </c>
      <c r="H36" s="46" t="n">
        <v>20.8</v>
      </c>
      <c r="I36" s="46" t="n">
        <v>0.53</v>
      </c>
      <c r="J36" s="46" t="n">
        <v>6.5</v>
      </c>
      <c r="K36" s="46" t="n">
        <v>3.3</v>
      </c>
      <c r="L36" s="46" t="n">
        <v>4</v>
      </c>
      <c r="M36" s="45" t="s">
        <v>270</v>
      </c>
      <c r="N36" s="44" t="s">
        <v>145</v>
      </c>
    </row>
    <row r="37" customFormat="false" ht="15" hidden="false" customHeight="false" outlineLevel="0" collapsed="false">
      <c r="A37" s="44" t="s">
        <v>271</v>
      </c>
      <c r="B37" s="45" t="s">
        <v>239</v>
      </c>
      <c r="C37" s="45" t="s">
        <v>272</v>
      </c>
      <c r="D37" s="44" t="s">
        <v>273</v>
      </c>
      <c r="E37" s="44" t="s">
        <v>198</v>
      </c>
      <c r="F37" s="46" t="n">
        <v>237</v>
      </c>
      <c r="G37" s="46" t="n">
        <v>7.78</v>
      </c>
      <c r="H37" s="46" t="n">
        <v>15</v>
      </c>
      <c r="I37" s="46" t="n">
        <v>17.8</v>
      </c>
      <c r="J37" s="46" t="n">
        <v>5.5</v>
      </c>
      <c r="K37" s="46" t="n">
        <v>0.62</v>
      </c>
      <c r="L37" s="46" t="n">
        <v>426</v>
      </c>
      <c r="M37" s="45" t="s">
        <v>274</v>
      </c>
      <c r="N37" s="44" t="s">
        <v>145</v>
      </c>
    </row>
    <row r="38" customFormat="false" ht="15" hidden="false" customHeight="false" outlineLevel="0" collapsed="false">
      <c r="A38" s="44" t="s">
        <v>275</v>
      </c>
      <c r="B38" s="45" t="s">
        <v>239</v>
      </c>
      <c r="C38" s="45" t="s">
        <v>276</v>
      </c>
      <c r="D38" s="44" t="s">
        <v>277</v>
      </c>
      <c r="E38" s="44" t="s">
        <v>198</v>
      </c>
      <c r="F38" s="46" t="n">
        <v>333</v>
      </c>
      <c r="G38" s="46" t="n">
        <v>13.3</v>
      </c>
      <c r="H38" s="46" t="n">
        <v>31.8</v>
      </c>
      <c r="I38" s="46" t="n">
        <v>17.8</v>
      </c>
      <c r="J38" s="46"/>
      <c r="K38" s="46"/>
      <c r="L38" s="46" t="n">
        <v>294</v>
      </c>
      <c r="M38" s="45" t="s">
        <v>278</v>
      </c>
      <c r="N38" s="44" t="s">
        <v>145</v>
      </c>
    </row>
    <row r="39" customFormat="false" ht="15" hidden="false" customHeight="false" outlineLevel="0" collapsed="false">
      <c r="A39" s="44" t="s">
        <v>279</v>
      </c>
      <c r="B39" s="45" t="s">
        <v>118</v>
      </c>
      <c r="C39" s="45" t="s">
        <v>96</v>
      </c>
      <c r="D39" s="44" t="s">
        <v>280</v>
      </c>
      <c r="E39" s="44" t="s">
        <v>143</v>
      </c>
      <c r="F39" s="46" t="n">
        <v>165</v>
      </c>
      <c r="G39" s="46" t="n">
        <v>31</v>
      </c>
      <c r="H39" s="46" t="n">
        <v>0</v>
      </c>
      <c r="I39" s="46" t="n">
        <v>3.57</v>
      </c>
      <c r="J39" s="46" t="n">
        <v>0</v>
      </c>
      <c r="K39" s="46" t="n">
        <v>0</v>
      </c>
      <c r="L39" s="46" t="n">
        <v>74</v>
      </c>
      <c r="M39" s="45" t="s">
        <v>281</v>
      </c>
      <c r="N39" s="44" t="s">
        <v>145</v>
      </c>
    </row>
    <row r="40" customFormat="false" ht="15" hidden="false" customHeight="false" outlineLevel="0" collapsed="false">
      <c r="A40" s="44" t="s">
        <v>282</v>
      </c>
      <c r="B40" s="45" t="s">
        <v>118</v>
      </c>
      <c r="C40" s="45" t="s">
        <v>283</v>
      </c>
      <c r="D40" s="44" t="s">
        <v>284</v>
      </c>
      <c r="E40" s="44" t="s">
        <v>143</v>
      </c>
      <c r="F40" s="46" t="n">
        <v>179</v>
      </c>
      <c r="G40" s="46" t="n">
        <v>24.8</v>
      </c>
      <c r="H40" s="46" t="n">
        <v>0</v>
      </c>
      <c r="I40" s="46" t="n">
        <v>8.15</v>
      </c>
      <c r="J40" s="46" t="n">
        <v>0</v>
      </c>
      <c r="K40" s="46" t="n">
        <v>0</v>
      </c>
      <c r="L40" s="46" t="n">
        <v>106</v>
      </c>
      <c r="M40" s="45" t="s">
        <v>285</v>
      </c>
      <c r="N40" s="44" t="s">
        <v>145</v>
      </c>
    </row>
    <row r="41" customFormat="false" ht="15" hidden="false" customHeight="false" outlineLevel="0" collapsed="false">
      <c r="A41" s="44" t="s">
        <v>286</v>
      </c>
      <c r="B41" s="45" t="s">
        <v>118</v>
      </c>
      <c r="C41" s="45" t="s">
        <v>287</v>
      </c>
      <c r="D41" s="44" t="s">
        <v>288</v>
      </c>
      <c r="E41" s="44" t="s">
        <v>143</v>
      </c>
      <c r="F41" s="46" t="n">
        <v>147</v>
      </c>
      <c r="G41" s="46" t="n">
        <v>30.1</v>
      </c>
      <c r="H41" s="46" t="n">
        <v>0</v>
      </c>
      <c r="I41" s="46" t="n">
        <v>2.08</v>
      </c>
      <c r="J41" s="46" t="n">
        <v>0</v>
      </c>
      <c r="K41" s="46" t="n">
        <v>0</v>
      </c>
      <c r="L41" s="46" t="n">
        <v>99</v>
      </c>
      <c r="M41" s="45" t="s">
        <v>289</v>
      </c>
      <c r="N41" s="44" t="s">
        <v>145</v>
      </c>
    </row>
    <row r="42" customFormat="false" ht="15" hidden="false" customHeight="false" outlineLevel="0" collapsed="false">
      <c r="A42" s="44" t="s">
        <v>290</v>
      </c>
      <c r="B42" s="45" t="s">
        <v>118</v>
      </c>
      <c r="C42" s="45" t="s">
        <v>291</v>
      </c>
      <c r="D42" s="44" t="s">
        <v>292</v>
      </c>
      <c r="E42" s="44" t="s">
        <v>143</v>
      </c>
      <c r="F42" s="46" t="n">
        <v>217</v>
      </c>
      <c r="G42" s="46" t="n">
        <v>26.1</v>
      </c>
      <c r="H42" s="46" t="n">
        <v>0</v>
      </c>
      <c r="I42" s="46" t="n">
        <v>11.8</v>
      </c>
      <c r="J42" s="46" t="n">
        <v>0</v>
      </c>
      <c r="K42" s="46" t="n">
        <v>0</v>
      </c>
      <c r="L42" s="46" t="n">
        <v>68</v>
      </c>
      <c r="M42" s="45" t="s">
        <v>293</v>
      </c>
      <c r="N42" s="44" t="s">
        <v>145</v>
      </c>
    </row>
    <row r="43" customFormat="false" ht="15" hidden="false" customHeight="false" outlineLevel="0" collapsed="false">
      <c r="A43" s="44" t="s">
        <v>294</v>
      </c>
      <c r="B43" s="45" t="s">
        <v>118</v>
      </c>
      <c r="C43" s="45" t="s">
        <v>295</v>
      </c>
      <c r="D43" s="44" t="s">
        <v>296</v>
      </c>
      <c r="E43" s="44" t="s">
        <v>143</v>
      </c>
      <c r="F43" s="46" t="n">
        <v>270</v>
      </c>
      <c r="G43" s="46" t="n">
        <v>25.8</v>
      </c>
      <c r="H43" s="46" t="n">
        <v>0</v>
      </c>
      <c r="I43" s="46" t="n">
        <v>17.8</v>
      </c>
      <c r="J43" s="46" t="n">
        <v>0</v>
      </c>
      <c r="K43" s="46" t="n">
        <v>0</v>
      </c>
      <c r="L43" s="46" t="n">
        <v>75</v>
      </c>
      <c r="M43" s="45" t="s">
        <v>297</v>
      </c>
      <c r="N43" s="44" t="s">
        <v>145</v>
      </c>
    </row>
    <row r="44" customFormat="false" ht="15" hidden="false" customHeight="false" outlineLevel="0" collapsed="false">
      <c r="A44" s="44" t="s">
        <v>298</v>
      </c>
      <c r="B44" s="45" t="s">
        <v>118</v>
      </c>
      <c r="C44" s="45" t="s">
        <v>299</v>
      </c>
      <c r="D44" s="44" t="s">
        <v>300</v>
      </c>
      <c r="E44" s="44" t="s">
        <v>143</v>
      </c>
      <c r="F44" s="46" t="n">
        <v>188</v>
      </c>
      <c r="G44" s="46" t="n">
        <v>30.3</v>
      </c>
      <c r="H44" s="46" t="n">
        <v>0</v>
      </c>
      <c r="I44" s="46" t="n">
        <v>6.55</v>
      </c>
      <c r="J44" s="46" t="n">
        <v>0</v>
      </c>
      <c r="K44" s="46" t="n">
        <v>0</v>
      </c>
      <c r="L44" s="46" t="n">
        <v>63</v>
      </c>
      <c r="M44" s="45" t="s">
        <v>301</v>
      </c>
      <c r="N44" s="44" t="s">
        <v>145</v>
      </c>
    </row>
    <row r="45" customFormat="false" ht="15" hidden="false" customHeight="false" outlineLevel="0" collapsed="false">
      <c r="A45" s="44" t="s">
        <v>302</v>
      </c>
      <c r="B45" s="45" t="s">
        <v>118</v>
      </c>
      <c r="C45" s="45" t="s">
        <v>303</v>
      </c>
      <c r="D45" s="44" t="s">
        <v>304</v>
      </c>
      <c r="E45" s="44" t="s">
        <v>143</v>
      </c>
      <c r="F45" s="46" t="n">
        <v>180</v>
      </c>
      <c r="G45" s="46" t="n">
        <v>28.2</v>
      </c>
      <c r="H45" s="46" t="n">
        <v>0</v>
      </c>
      <c r="I45" s="46" t="n">
        <v>6.67</v>
      </c>
      <c r="J45" s="46" t="n">
        <v>0</v>
      </c>
      <c r="K45" s="46"/>
      <c r="L45" s="46" t="n">
        <v>66</v>
      </c>
      <c r="M45" s="45" t="s">
        <v>305</v>
      </c>
      <c r="N45" s="44" t="s">
        <v>145</v>
      </c>
    </row>
    <row r="46" customFormat="false" ht="15" hidden="false" customHeight="false" outlineLevel="0" collapsed="false">
      <c r="A46" s="44" t="s">
        <v>306</v>
      </c>
      <c r="B46" s="45" t="s">
        <v>118</v>
      </c>
      <c r="C46" s="45" t="s">
        <v>89</v>
      </c>
      <c r="D46" s="44" t="s">
        <v>307</v>
      </c>
      <c r="E46" s="44" t="s">
        <v>143</v>
      </c>
      <c r="F46" s="46" t="n">
        <v>155</v>
      </c>
      <c r="G46" s="46" t="n">
        <v>12.6</v>
      </c>
      <c r="H46" s="46" t="n">
        <v>1.12</v>
      </c>
      <c r="I46" s="46" t="n">
        <v>10.6</v>
      </c>
      <c r="J46" s="46" t="n">
        <v>0</v>
      </c>
      <c r="K46" s="46" t="n">
        <v>1.12</v>
      </c>
      <c r="L46" s="46" t="n">
        <v>124</v>
      </c>
      <c r="M46" s="45" t="s">
        <v>308</v>
      </c>
      <c r="N46" s="44" t="s">
        <v>145</v>
      </c>
    </row>
    <row r="47" customFormat="false" ht="15" hidden="false" customHeight="false" outlineLevel="0" collapsed="false">
      <c r="A47" s="44" t="s">
        <v>309</v>
      </c>
      <c r="B47" s="45" t="s">
        <v>118</v>
      </c>
      <c r="C47" s="45" t="s">
        <v>310</v>
      </c>
      <c r="D47" s="44" t="s">
        <v>311</v>
      </c>
      <c r="E47" s="44" t="s">
        <v>149</v>
      </c>
      <c r="F47" s="46" t="n">
        <v>143</v>
      </c>
      <c r="G47" s="46" t="n">
        <v>12.6</v>
      </c>
      <c r="H47" s="46" t="n">
        <v>0.72</v>
      </c>
      <c r="I47" s="46" t="n">
        <v>9.51</v>
      </c>
      <c r="J47" s="46" t="n">
        <v>0</v>
      </c>
      <c r="K47" s="46" t="n">
        <v>0.37</v>
      </c>
      <c r="L47" s="46" t="n">
        <v>142</v>
      </c>
      <c r="M47" s="45" t="s">
        <v>312</v>
      </c>
      <c r="N47" s="44" t="s">
        <v>145</v>
      </c>
    </row>
    <row r="48" customFormat="false" ht="15" hidden="false" customHeight="false" outlineLevel="0" collapsed="false">
      <c r="A48" s="44" t="s">
        <v>313</v>
      </c>
      <c r="B48" s="45" t="s">
        <v>118</v>
      </c>
      <c r="C48" s="45" t="s">
        <v>314</v>
      </c>
      <c r="D48" s="44" t="s">
        <v>315</v>
      </c>
      <c r="E48" s="44" t="s">
        <v>149</v>
      </c>
      <c r="F48" s="46" t="n">
        <v>52</v>
      </c>
      <c r="G48" s="46" t="n">
        <v>10.9</v>
      </c>
      <c r="H48" s="46" t="n">
        <v>0.73</v>
      </c>
      <c r="I48" s="46" t="n">
        <v>0.17</v>
      </c>
      <c r="J48" s="46" t="n">
        <v>0</v>
      </c>
      <c r="K48" s="46" t="n">
        <v>0.71</v>
      </c>
      <c r="L48" s="46" t="n">
        <v>166</v>
      </c>
      <c r="M48" s="45" t="s">
        <v>316</v>
      </c>
      <c r="N48" s="44" t="s">
        <v>145</v>
      </c>
    </row>
    <row r="49" customFormat="false" ht="15" hidden="false" customHeight="false" outlineLevel="0" collapsed="false">
      <c r="A49" s="44" t="s">
        <v>317</v>
      </c>
      <c r="B49" s="45" t="s">
        <v>118</v>
      </c>
      <c r="C49" s="45" t="s">
        <v>318</v>
      </c>
      <c r="D49" s="44" t="s">
        <v>319</v>
      </c>
      <c r="E49" s="44" t="s">
        <v>320</v>
      </c>
      <c r="F49" s="46" t="n">
        <v>86</v>
      </c>
      <c r="G49" s="46" t="n">
        <v>19.4</v>
      </c>
      <c r="H49" s="46" t="n">
        <v>0</v>
      </c>
      <c r="I49" s="46" t="n">
        <v>0.96</v>
      </c>
      <c r="J49" s="46" t="n">
        <v>0</v>
      </c>
      <c r="K49" s="46" t="n">
        <v>0</v>
      </c>
      <c r="L49" s="46" t="n">
        <v>247</v>
      </c>
      <c r="M49" s="45" t="s">
        <v>321</v>
      </c>
      <c r="N49" s="44" t="s">
        <v>145</v>
      </c>
    </row>
    <row r="50" customFormat="false" ht="15" hidden="false" customHeight="false" outlineLevel="0" collapsed="false">
      <c r="A50" s="44" t="s">
        <v>322</v>
      </c>
      <c r="B50" s="45" t="s">
        <v>118</v>
      </c>
      <c r="C50" s="45" t="s">
        <v>323</v>
      </c>
      <c r="D50" s="44" t="s">
        <v>324</v>
      </c>
      <c r="E50" s="44" t="s">
        <v>320</v>
      </c>
      <c r="F50" s="46" t="n">
        <v>198</v>
      </c>
      <c r="G50" s="46" t="n">
        <v>29.1</v>
      </c>
      <c r="H50" s="46" t="n">
        <v>0</v>
      </c>
      <c r="I50" s="46" t="n">
        <v>8.21</v>
      </c>
      <c r="J50" s="46" t="n">
        <v>0</v>
      </c>
      <c r="K50" s="46" t="n">
        <v>0</v>
      </c>
      <c r="L50" s="46" t="n">
        <v>416</v>
      </c>
      <c r="M50" s="45" t="s">
        <v>325</v>
      </c>
      <c r="N50" s="44" t="s">
        <v>145</v>
      </c>
    </row>
    <row r="51" customFormat="false" ht="15" hidden="false" customHeight="false" outlineLevel="0" collapsed="false">
      <c r="A51" s="44" t="s">
        <v>326</v>
      </c>
      <c r="B51" s="45" t="s">
        <v>118</v>
      </c>
      <c r="C51" s="45" t="s">
        <v>101</v>
      </c>
      <c r="D51" s="44" t="s">
        <v>327</v>
      </c>
      <c r="E51" s="44" t="s">
        <v>143</v>
      </c>
      <c r="F51" s="46" t="n">
        <v>206</v>
      </c>
      <c r="G51" s="46" t="n">
        <v>22.1</v>
      </c>
      <c r="H51" s="46" t="n">
        <v>0</v>
      </c>
      <c r="I51" s="46" t="n">
        <v>12.4</v>
      </c>
      <c r="J51" s="46" t="n">
        <v>0</v>
      </c>
      <c r="K51" s="46" t="n">
        <v>0</v>
      </c>
      <c r="L51" s="46" t="n">
        <v>61</v>
      </c>
      <c r="M51" s="45" t="s">
        <v>328</v>
      </c>
      <c r="N51" s="44" t="s">
        <v>145</v>
      </c>
    </row>
    <row r="52" customFormat="false" ht="15" hidden="false" customHeight="false" outlineLevel="0" collapsed="false">
      <c r="A52" s="44" t="s">
        <v>329</v>
      </c>
      <c r="B52" s="45" t="s">
        <v>118</v>
      </c>
      <c r="C52" s="45" t="s">
        <v>330</v>
      </c>
      <c r="D52" s="44" t="s">
        <v>331</v>
      </c>
      <c r="E52" s="44" t="s">
        <v>143</v>
      </c>
      <c r="F52" s="46" t="n">
        <v>128</v>
      </c>
      <c r="G52" s="46" t="n">
        <v>26.2</v>
      </c>
      <c r="H52" s="46" t="n">
        <v>0</v>
      </c>
      <c r="I52" s="46" t="n">
        <v>2.65</v>
      </c>
      <c r="J52" s="46" t="n">
        <v>0</v>
      </c>
      <c r="K52" s="46" t="n">
        <v>0</v>
      </c>
      <c r="L52" s="46" t="n">
        <v>56</v>
      </c>
      <c r="M52" s="45" t="s">
        <v>332</v>
      </c>
      <c r="N52" s="44" t="s">
        <v>145</v>
      </c>
    </row>
    <row r="53" customFormat="false" ht="15" hidden="false" customHeight="false" outlineLevel="0" collapsed="false">
      <c r="A53" s="44" t="s">
        <v>333</v>
      </c>
      <c r="B53" s="45" t="s">
        <v>118</v>
      </c>
      <c r="C53" s="45" t="s">
        <v>334</v>
      </c>
      <c r="D53" s="44" t="s">
        <v>335</v>
      </c>
      <c r="E53" s="44" t="s">
        <v>143</v>
      </c>
      <c r="F53" s="46" t="n">
        <v>105</v>
      </c>
      <c r="G53" s="46" t="n">
        <v>22.8</v>
      </c>
      <c r="H53" s="46" t="n">
        <v>0</v>
      </c>
      <c r="I53" s="46" t="n">
        <v>0.86</v>
      </c>
      <c r="J53" s="46" t="n">
        <v>0</v>
      </c>
      <c r="K53" s="46" t="n">
        <v>0</v>
      </c>
      <c r="L53" s="46" t="n">
        <v>78</v>
      </c>
      <c r="M53" s="45" t="s">
        <v>336</v>
      </c>
      <c r="N53" s="44" t="s">
        <v>145</v>
      </c>
    </row>
    <row r="54" customFormat="false" ht="15" hidden="false" customHeight="false" outlineLevel="0" collapsed="false">
      <c r="A54" s="44" t="s">
        <v>337</v>
      </c>
      <c r="B54" s="45" t="s">
        <v>118</v>
      </c>
      <c r="C54" s="45" t="s">
        <v>338</v>
      </c>
      <c r="D54" s="44" t="s">
        <v>339</v>
      </c>
      <c r="E54" s="44" t="s">
        <v>143</v>
      </c>
      <c r="F54" s="46" t="n">
        <v>119</v>
      </c>
      <c r="G54" s="46" t="n">
        <v>22.8</v>
      </c>
      <c r="H54" s="46" t="n">
        <v>1.52</v>
      </c>
      <c r="I54" s="46" t="n">
        <v>1.7</v>
      </c>
      <c r="J54" s="46" t="n">
        <v>0</v>
      </c>
      <c r="K54" s="46" t="n">
        <v>0</v>
      </c>
      <c r="L54" s="46" t="n">
        <v>947</v>
      </c>
      <c r="M54" s="45" t="s">
        <v>340</v>
      </c>
      <c r="N54" s="44" t="s">
        <v>145</v>
      </c>
    </row>
    <row r="55" customFormat="false" ht="15" hidden="false" customHeight="false" outlineLevel="0" collapsed="false">
      <c r="A55" s="44" t="s">
        <v>341</v>
      </c>
      <c r="B55" s="45" t="s">
        <v>118</v>
      </c>
      <c r="C55" s="45" t="s">
        <v>342</v>
      </c>
      <c r="D55" s="44" t="s">
        <v>343</v>
      </c>
      <c r="E55" s="44" t="s">
        <v>320</v>
      </c>
      <c r="F55" s="46" t="n">
        <v>208</v>
      </c>
      <c r="G55" s="46" t="n">
        <v>24.6</v>
      </c>
      <c r="H55" s="46" t="n">
        <v>0</v>
      </c>
      <c r="I55" s="46" t="n">
        <v>11.4</v>
      </c>
      <c r="J55" s="46" t="n">
        <v>0</v>
      </c>
      <c r="K55" s="46" t="n">
        <v>0</v>
      </c>
      <c r="L55" s="46" t="n">
        <v>307</v>
      </c>
      <c r="M55" s="45" t="s">
        <v>344</v>
      </c>
      <c r="N55" s="44" t="s">
        <v>145</v>
      </c>
    </row>
    <row r="56" customFormat="false" ht="15" hidden="false" customHeight="false" outlineLevel="0" collapsed="false">
      <c r="A56" s="44" t="s">
        <v>345</v>
      </c>
      <c r="B56" s="45" t="s">
        <v>118</v>
      </c>
      <c r="C56" s="45" t="s">
        <v>99</v>
      </c>
      <c r="D56" s="44" t="s">
        <v>346</v>
      </c>
      <c r="E56" s="44" t="s">
        <v>198</v>
      </c>
      <c r="F56" s="46" t="n">
        <v>352</v>
      </c>
      <c r="G56" s="46" t="n">
        <v>78.1</v>
      </c>
      <c r="H56" s="46" t="n">
        <v>6.25</v>
      </c>
      <c r="I56" s="46" t="n">
        <v>1.56</v>
      </c>
      <c r="J56" s="46" t="n">
        <v>3.1</v>
      </c>
      <c r="K56" s="46" t="n">
        <v>0</v>
      </c>
      <c r="L56" s="46" t="n">
        <v>156</v>
      </c>
      <c r="M56" s="45" t="s">
        <v>347</v>
      </c>
      <c r="N56" s="44" t="s">
        <v>145</v>
      </c>
    </row>
    <row r="57" customFormat="false" ht="15" hidden="false" customHeight="false" outlineLevel="0" collapsed="false">
      <c r="A57" s="44" t="s">
        <v>348</v>
      </c>
      <c r="B57" s="45" t="s">
        <v>349</v>
      </c>
      <c r="C57" s="45" t="s">
        <v>350</v>
      </c>
      <c r="D57" s="44" t="s">
        <v>351</v>
      </c>
      <c r="E57" s="44" t="s">
        <v>198</v>
      </c>
      <c r="F57" s="46" t="n">
        <v>81</v>
      </c>
      <c r="G57" s="46" t="n">
        <v>10.4</v>
      </c>
      <c r="H57" s="46" t="n">
        <v>4.76</v>
      </c>
      <c r="I57" s="46" t="n">
        <v>2.27</v>
      </c>
      <c r="J57" s="46" t="n">
        <v>0</v>
      </c>
      <c r="K57" s="46" t="n">
        <v>4</v>
      </c>
      <c r="L57" s="46" t="n">
        <v>308</v>
      </c>
      <c r="M57" s="45" t="s">
        <v>352</v>
      </c>
      <c r="N57" s="44" t="s">
        <v>145</v>
      </c>
    </row>
    <row r="58" customFormat="false" ht="15" hidden="false" customHeight="false" outlineLevel="0" collapsed="false">
      <c r="A58" s="44" t="s">
        <v>353</v>
      </c>
      <c r="B58" s="45" t="s">
        <v>349</v>
      </c>
      <c r="C58" s="45" t="s">
        <v>354</v>
      </c>
      <c r="D58" s="44" t="s">
        <v>355</v>
      </c>
      <c r="E58" s="44" t="s">
        <v>198</v>
      </c>
      <c r="F58" s="46" t="n">
        <v>254</v>
      </c>
      <c r="G58" s="46" t="n">
        <v>24.3</v>
      </c>
      <c r="H58" s="46" t="n">
        <v>2.77</v>
      </c>
      <c r="I58" s="46" t="n">
        <v>15.9</v>
      </c>
      <c r="J58" s="46" t="n">
        <v>0</v>
      </c>
      <c r="K58" s="46" t="n">
        <v>1.13</v>
      </c>
      <c r="L58" s="46" t="n">
        <v>619</v>
      </c>
      <c r="M58" s="45" t="s">
        <v>356</v>
      </c>
      <c r="N58" s="44" t="s">
        <v>145</v>
      </c>
    </row>
    <row r="59" customFormat="false" ht="15" hidden="false" customHeight="false" outlineLevel="0" collapsed="false">
      <c r="A59" s="44" t="s">
        <v>357</v>
      </c>
      <c r="B59" s="45" t="s">
        <v>349</v>
      </c>
      <c r="C59" s="45" t="s">
        <v>358</v>
      </c>
      <c r="D59" s="44" t="s">
        <v>359</v>
      </c>
      <c r="E59" s="44" t="s">
        <v>198</v>
      </c>
      <c r="F59" s="46" t="n">
        <v>403</v>
      </c>
      <c r="G59" s="46" t="n">
        <v>22.9</v>
      </c>
      <c r="H59" s="46" t="n">
        <v>3.37</v>
      </c>
      <c r="I59" s="46" t="n">
        <v>33.3</v>
      </c>
      <c r="J59" s="46" t="n">
        <v>0</v>
      </c>
      <c r="K59" s="46" t="n">
        <v>0.48</v>
      </c>
      <c r="L59" s="46" t="n">
        <v>653</v>
      </c>
      <c r="M59" s="45" t="s">
        <v>360</v>
      </c>
      <c r="N59" s="44" t="s">
        <v>145</v>
      </c>
    </row>
    <row r="60" customFormat="false" ht="15" hidden="false" customHeight="false" outlineLevel="0" collapsed="false">
      <c r="A60" s="44" t="s">
        <v>361</v>
      </c>
      <c r="B60" s="45" t="s">
        <v>349</v>
      </c>
      <c r="C60" s="45" t="s">
        <v>362</v>
      </c>
      <c r="D60" s="44" t="s">
        <v>363</v>
      </c>
      <c r="E60" s="44" t="s">
        <v>198</v>
      </c>
      <c r="F60" s="46" t="n">
        <v>34</v>
      </c>
      <c r="G60" s="46" t="n">
        <v>3.37</v>
      </c>
      <c r="H60" s="46" t="n">
        <v>4.96</v>
      </c>
      <c r="I60" s="46" t="n">
        <v>0.08</v>
      </c>
      <c r="J60" s="46" t="n">
        <v>0</v>
      </c>
      <c r="K60" s="46" t="n">
        <v>5.09</v>
      </c>
      <c r="L60" s="46" t="n">
        <v>42</v>
      </c>
      <c r="M60" s="45" t="s">
        <v>364</v>
      </c>
      <c r="N60" s="44" t="s">
        <v>145</v>
      </c>
    </row>
    <row r="61" customFormat="false" ht="15" hidden="false" customHeight="false" outlineLevel="0" collapsed="false">
      <c r="A61" s="44" t="s">
        <v>365</v>
      </c>
      <c r="B61" s="45" t="s">
        <v>349</v>
      </c>
      <c r="C61" s="45" t="s">
        <v>366</v>
      </c>
      <c r="D61" s="44" t="s">
        <v>367</v>
      </c>
      <c r="E61" s="44" t="s">
        <v>198</v>
      </c>
      <c r="F61" s="46" t="n">
        <v>50</v>
      </c>
      <c r="G61" s="46" t="n">
        <v>3.3</v>
      </c>
      <c r="H61" s="46" t="n">
        <v>4.8</v>
      </c>
      <c r="I61" s="46" t="n">
        <v>1.98</v>
      </c>
      <c r="J61" s="46" t="n">
        <v>0</v>
      </c>
      <c r="K61" s="46" t="n">
        <v>5.06</v>
      </c>
      <c r="L61" s="46" t="n">
        <v>47</v>
      </c>
      <c r="M61" s="45" t="s">
        <v>368</v>
      </c>
      <c r="N61" s="44" t="s">
        <v>145</v>
      </c>
    </row>
    <row r="62" customFormat="false" ht="15" hidden="false" customHeight="false" outlineLevel="0" collapsed="false">
      <c r="A62" s="44" t="s">
        <v>369</v>
      </c>
      <c r="B62" s="45" t="s">
        <v>349</v>
      </c>
      <c r="C62" s="45" t="s">
        <v>370</v>
      </c>
      <c r="D62" s="44" t="s">
        <v>371</v>
      </c>
      <c r="E62" s="44" t="s">
        <v>198</v>
      </c>
      <c r="F62" s="46" t="n">
        <v>61</v>
      </c>
      <c r="G62" s="46" t="n">
        <v>3.15</v>
      </c>
      <c r="H62" s="46" t="n">
        <v>4.8</v>
      </c>
      <c r="I62" s="46" t="n">
        <v>3.25</v>
      </c>
      <c r="J62" s="46" t="n">
        <v>0</v>
      </c>
      <c r="K62" s="46" t="n">
        <v>5.05</v>
      </c>
      <c r="L62" s="46" t="n">
        <v>43</v>
      </c>
      <c r="M62" s="45" t="s">
        <v>372</v>
      </c>
      <c r="N62" s="44" t="s">
        <v>145</v>
      </c>
    </row>
    <row r="63" customFormat="false" ht="15" hidden="false" customHeight="false" outlineLevel="0" collapsed="false">
      <c r="A63" s="44" t="s">
        <v>373</v>
      </c>
      <c r="B63" s="45" t="s">
        <v>349</v>
      </c>
      <c r="C63" s="45" t="s">
        <v>94</v>
      </c>
      <c r="D63" s="44" t="s">
        <v>374</v>
      </c>
      <c r="E63" s="44" t="s">
        <v>198</v>
      </c>
      <c r="F63" s="46" t="n">
        <v>59</v>
      </c>
      <c r="G63" s="46" t="n">
        <v>10.2</v>
      </c>
      <c r="H63" s="46" t="n">
        <v>3.6</v>
      </c>
      <c r="I63" s="46" t="n">
        <v>0.39</v>
      </c>
      <c r="J63" s="46" t="n">
        <v>0</v>
      </c>
      <c r="K63" s="46" t="n">
        <v>3.24</v>
      </c>
      <c r="L63" s="46" t="n">
        <v>36</v>
      </c>
      <c r="M63" s="45" t="s">
        <v>375</v>
      </c>
      <c r="N63" s="44" t="s">
        <v>145</v>
      </c>
    </row>
    <row r="64" customFormat="false" ht="15" hidden="false" customHeight="false" outlineLevel="0" collapsed="false">
      <c r="A64" s="44" t="s">
        <v>376</v>
      </c>
      <c r="B64" s="45" t="s">
        <v>349</v>
      </c>
      <c r="C64" s="45" t="s">
        <v>377</v>
      </c>
      <c r="D64" s="44" t="s">
        <v>378</v>
      </c>
      <c r="E64" s="44" t="s">
        <v>198</v>
      </c>
      <c r="F64" s="46" t="n">
        <v>63</v>
      </c>
      <c r="G64" s="46" t="n">
        <v>5.25</v>
      </c>
      <c r="H64" s="46" t="n">
        <v>7.04</v>
      </c>
      <c r="I64" s="46" t="n">
        <v>1.55</v>
      </c>
      <c r="J64" s="46" t="n">
        <v>0</v>
      </c>
      <c r="K64" s="46" t="n">
        <v>7.04</v>
      </c>
      <c r="L64" s="46" t="n">
        <v>70</v>
      </c>
      <c r="M64" s="45" t="s">
        <v>379</v>
      </c>
      <c r="N64" s="44" t="s">
        <v>145</v>
      </c>
    </row>
    <row r="65" customFormat="false" ht="15" hidden="false" customHeight="false" outlineLevel="0" collapsed="false">
      <c r="A65" s="44" t="s">
        <v>380</v>
      </c>
      <c r="B65" s="45" t="s">
        <v>349</v>
      </c>
      <c r="C65" s="45" t="s">
        <v>381</v>
      </c>
      <c r="D65" s="44" t="s">
        <v>382</v>
      </c>
      <c r="E65" s="44" t="s">
        <v>198</v>
      </c>
      <c r="F65" s="46" t="n">
        <v>61</v>
      </c>
      <c r="G65" s="46" t="n">
        <v>3.47</v>
      </c>
      <c r="H65" s="46" t="n">
        <v>4.66</v>
      </c>
      <c r="I65" s="46" t="n">
        <v>3.25</v>
      </c>
      <c r="J65" s="46" t="n">
        <v>0</v>
      </c>
      <c r="K65" s="46" t="n">
        <v>4.66</v>
      </c>
      <c r="L65" s="46" t="n">
        <v>46</v>
      </c>
      <c r="M65" s="45" t="s">
        <v>383</v>
      </c>
      <c r="N65" s="44" t="s">
        <v>145</v>
      </c>
    </row>
    <row r="66" customFormat="false" ht="15" hidden="false" customHeight="false" outlineLevel="0" collapsed="false">
      <c r="A66" s="44" t="s">
        <v>384</v>
      </c>
      <c r="B66" s="45" t="s">
        <v>349</v>
      </c>
      <c r="C66" s="45" t="s">
        <v>385</v>
      </c>
      <c r="D66" s="44" t="s">
        <v>386</v>
      </c>
      <c r="E66" s="44" t="s">
        <v>198</v>
      </c>
      <c r="F66" s="46" t="n">
        <v>40</v>
      </c>
      <c r="G66" s="46" t="n">
        <v>3.31</v>
      </c>
      <c r="H66" s="46" t="n">
        <v>4.79</v>
      </c>
      <c r="I66" s="46" t="n">
        <v>1.07</v>
      </c>
      <c r="J66" s="46" t="n">
        <v>0</v>
      </c>
      <c r="K66" s="46" t="n">
        <v>5.36</v>
      </c>
      <c r="L66" s="46" t="n">
        <v>148</v>
      </c>
      <c r="M66" s="45" t="s">
        <v>387</v>
      </c>
      <c r="N66" s="44" t="s">
        <v>145</v>
      </c>
    </row>
    <row r="67" customFormat="false" ht="15" hidden="false" customHeight="false" outlineLevel="0" collapsed="false">
      <c r="A67" s="44" t="s">
        <v>388</v>
      </c>
      <c r="B67" s="45" t="s">
        <v>389</v>
      </c>
      <c r="C67" s="45" t="s">
        <v>98</v>
      </c>
      <c r="D67" s="44" t="s">
        <v>390</v>
      </c>
      <c r="E67" s="44" t="s">
        <v>198</v>
      </c>
      <c r="F67" s="46" t="n">
        <v>884</v>
      </c>
      <c r="G67" s="46" t="n">
        <v>0</v>
      </c>
      <c r="H67" s="46" t="n">
        <v>0</v>
      </c>
      <c r="I67" s="46" t="n">
        <v>100</v>
      </c>
      <c r="J67" s="46" t="n">
        <v>0</v>
      </c>
      <c r="K67" s="46" t="n">
        <v>0</v>
      </c>
      <c r="L67" s="46" t="n">
        <v>2</v>
      </c>
      <c r="M67" s="45" t="s">
        <v>391</v>
      </c>
      <c r="N67" s="44" t="s">
        <v>145</v>
      </c>
    </row>
    <row r="68" customFormat="false" ht="15" hidden="false" customHeight="false" outlineLevel="0" collapsed="false">
      <c r="A68" s="44" t="s">
        <v>392</v>
      </c>
      <c r="B68" s="45" t="s">
        <v>389</v>
      </c>
      <c r="C68" s="45" t="s">
        <v>393</v>
      </c>
      <c r="D68" s="44" t="s">
        <v>394</v>
      </c>
      <c r="E68" s="44" t="s">
        <v>198</v>
      </c>
      <c r="F68" s="46" t="n">
        <v>884</v>
      </c>
      <c r="G68" s="46" t="n">
        <v>0</v>
      </c>
      <c r="H68" s="46" t="n">
        <v>0</v>
      </c>
      <c r="I68" s="46" t="n">
        <v>100</v>
      </c>
      <c r="J68" s="46" t="n">
        <v>0</v>
      </c>
      <c r="K68" s="46" t="n">
        <v>0</v>
      </c>
      <c r="L68" s="46" t="n">
        <v>0</v>
      </c>
      <c r="M68" s="45" t="s">
        <v>395</v>
      </c>
      <c r="N68" s="44" t="s">
        <v>145</v>
      </c>
    </row>
    <row r="69" customFormat="false" ht="15" hidden="false" customHeight="false" outlineLevel="0" collapsed="false">
      <c r="A69" s="44" t="s">
        <v>396</v>
      </c>
      <c r="B69" s="45" t="s">
        <v>389</v>
      </c>
      <c r="C69" s="45" t="s">
        <v>397</v>
      </c>
      <c r="D69" s="44" t="s">
        <v>398</v>
      </c>
      <c r="E69" s="44" t="s">
        <v>198</v>
      </c>
      <c r="F69" s="46" t="n">
        <v>892</v>
      </c>
      <c r="G69" s="46" t="n">
        <v>0</v>
      </c>
      <c r="H69" s="46" t="n">
        <v>0</v>
      </c>
      <c r="I69" s="46" t="n">
        <v>99.1</v>
      </c>
      <c r="J69" s="46" t="n">
        <v>0</v>
      </c>
      <c r="K69" s="46" t="n">
        <v>0</v>
      </c>
      <c r="L69" s="46" t="n">
        <v>0</v>
      </c>
      <c r="M69" s="45" t="s">
        <v>399</v>
      </c>
      <c r="N69" s="44" t="s">
        <v>145</v>
      </c>
    </row>
    <row r="70" customFormat="false" ht="15" hidden="false" customHeight="false" outlineLevel="0" collapsed="false">
      <c r="A70" s="44" t="s">
        <v>400</v>
      </c>
      <c r="B70" s="45" t="s">
        <v>389</v>
      </c>
      <c r="C70" s="45" t="s">
        <v>401</v>
      </c>
      <c r="D70" s="44" t="s">
        <v>402</v>
      </c>
      <c r="E70" s="44" t="s">
        <v>198</v>
      </c>
      <c r="F70" s="46" t="n">
        <v>717</v>
      </c>
      <c r="G70" s="46" t="n">
        <v>0.85</v>
      </c>
      <c r="H70" s="46" t="n">
        <v>0.06</v>
      </c>
      <c r="I70" s="46" t="n">
        <v>81.1</v>
      </c>
      <c r="J70" s="46" t="n">
        <v>0</v>
      </c>
      <c r="K70" s="46" t="n">
        <v>0.06</v>
      </c>
      <c r="L70" s="46" t="n">
        <v>643</v>
      </c>
      <c r="M70" s="45" t="s">
        <v>403</v>
      </c>
      <c r="N70" s="44" t="s">
        <v>145</v>
      </c>
    </row>
    <row r="71" customFormat="false" ht="15" hidden="false" customHeight="false" outlineLevel="0" collapsed="false">
      <c r="A71" s="44" t="s">
        <v>404</v>
      </c>
      <c r="B71" s="45" t="s">
        <v>389</v>
      </c>
      <c r="C71" s="45" t="s">
        <v>405</v>
      </c>
      <c r="D71" s="44" t="s">
        <v>406</v>
      </c>
      <c r="E71" s="44" t="s">
        <v>198</v>
      </c>
      <c r="F71" s="46" t="n">
        <v>876</v>
      </c>
      <c r="G71" s="46" t="n">
        <v>0.28</v>
      </c>
      <c r="H71" s="46" t="n">
        <v>0</v>
      </c>
      <c r="I71" s="46" t="n">
        <v>99.5</v>
      </c>
      <c r="J71" s="46" t="n">
        <v>0</v>
      </c>
      <c r="K71" s="46" t="n">
        <v>0</v>
      </c>
      <c r="L71" s="46" t="n">
        <v>2</v>
      </c>
      <c r="M71" s="45" t="s">
        <v>407</v>
      </c>
      <c r="N71" s="44" t="s">
        <v>145</v>
      </c>
    </row>
    <row r="72" customFormat="false" ht="15" hidden="false" customHeight="false" outlineLevel="0" collapsed="false">
      <c r="A72" s="44" t="s">
        <v>408</v>
      </c>
      <c r="B72" s="45" t="s">
        <v>389</v>
      </c>
      <c r="C72" s="45" t="s">
        <v>409</v>
      </c>
      <c r="D72" s="44" t="s">
        <v>410</v>
      </c>
      <c r="E72" s="44" t="s">
        <v>198</v>
      </c>
      <c r="F72" s="46" t="n">
        <v>598</v>
      </c>
      <c r="G72" s="46" t="n">
        <v>22.2</v>
      </c>
      <c r="H72" s="46" t="n">
        <v>22.3</v>
      </c>
      <c r="I72" s="46" t="n">
        <v>51.4</v>
      </c>
      <c r="J72" s="46" t="n">
        <v>5</v>
      </c>
      <c r="K72" s="46" t="n">
        <v>10.5</v>
      </c>
      <c r="L72" s="46" t="n">
        <v>426</v>
      </c>
      <c r="M72" s="45" t="s">
        <v>411</v>
      </c>
      <c r="N72" s="44" t="s">
        <v>145</v>
      </c>
    </row>
    <row r="73" customFormat="false" ht="15" hidden="false" customHeight="false" outlineLevel="0" collapsed="false">
      <c r="A73" s="44" t="s">
        <v>412</v>
      </c>
      <c r="B73" s="45" t="s">
        <v>389</v>
      </c>
      <c r="C73" s="45" t="s">
        <v>413</v>
      </c>
      <c r="D73" s="44" t="s">
        <v>414</v>
      </c>
      <c r="E73" s="44" t="s">
        <v>149</v>
      </c>
      <c r="F73" s="46" t="n">
        <v>570</v>
      </c>
      <c r="G73" s="46" t="n">
        <v>17.8</v>
      </c>
      <c r="H73" s="46" t="n">
        <v>26.2</v>
      </c>
      <c r="I73" s="46" t="n">
        <v>48</v>
      </c>
      <c r="J73" s="46" t="n">
        <v>9.3</v>
      </c>
      <c r="K73" s="46"/>
      <c r="L73" s="46" t="n">
        <v>74</v>
      </c>
      <c r="M73" s="45" t="s">
        <v>415</v>
      </c>
      <c r="N73" s="44" t="s">
        <v>145</v>
      </c>
    </row>
    <row r="74" customFormat="false" ht="15" hidden="false" customHeight="false" outlineLevel="0" collapsed="false">
      <c r="A74" s="44" t="s">
        <v>416</v>
      </c>
      <c r="B74" s="45" t="s">
        <v>389</v>
      </c>
      <c r="C74" s="45" t="s">
        <v>417</v>
      </c>
      <c r="D74" s="44" t="s">
        <v>418</v>
      </c>
      <c r="E74" s="44" t="s">
        <v>198</v>
      </c>
      <c r="F74" s="46" t="n">
        <v>579</v>
      </c>
      <c r="G74" s="46" t="n">
        <v>21.2</v>
      </c>
      <c r="H74" s="46" t="n">
        <v>21.6</v>
      </c>
      <c r="I74" s="46" t="n">
        <v>49.9</v>
      </c>
      <c r="J74" s="46" t="n">
        <v>12.5</v>
      </c>
      <c r="K74" s="46" t="n">
        <v>4.35</v>
      </c>
      <c r="L74" s="46" t="n">
        <v>1</v>
      </c>
      <c r="M74" s="45" t="s">
        <v>419</v>
      </c>
      <c r="N74" s="44" t="s">
        <v>145</v>
      </c>
    </row>
    <row r="75" customFormat="false" ht="15" hidden="false" customHeight="false" outlineLevel="0" collapsed="false">
      <c r="A75" s="44" t="s">
        <v>420</v>
      </c>
      <c r="B75" s="45" t="s">
        <v>389</v>
      </c>
      <c r="C75" s="45" t="s">
        <v>421</v>
      </c>
      <c r="D75" s="44" t="s">
        <v>422</v>
      </c>
      <c r="E75" s="44" t="s">
        <v>198</v>
      </c>
      <c r="F75" s="46" t="n">
        <v>654</v>
      </c>
      <c r="G75" s="46" t="n">
        <v>15.2</v>
      </c>
      <c r="H75" s="46" t="n">
        <v>13.7</v>
      </c>
      <c r="I75" s="46" t="n">
        <v>65.2</v>
      </c>
      <c r="J75" s="46" t="n">
        <v>6.7</v>
      </c>
      <c r="K75" s="46" t="n">
        <v>2.61</v>
      </c>
      <c r="L75" s="46" t="n">
        <v>2</v>
      </c>
      <c r="M75" s="45" t="s">
        <v>423</v>
      </c>
      <c r="N75" s="44" t="s">
        <v>145</v>
      </c>
    </row>
    <row r="76" customFormat="false" ht="15" hidden="false" customHeight="false" outlineLevel="0" collapsed="false">
      <c r="A76" s="44" t="s">
        <v>424</v>
      </c>
      <c r="B76" s="45" t="s">
        <v>389</v>
      </c>
      <c r="C76" s="45" t="s">
        <v>425</v>
      </c>
      <c r="D76" s="44" t="s">
        <v>426</v>
      </c>
      <c r="E76" s="44" t="s">
        <v>149</v>
      </c>
      <c r="F76" s="46" t="n">
        <v>553</v>
      </c>
      <c r="G76" s="46" t="n">
        <v>18.2</v>
      </c>
      <c r="H76" s="46" t="n">
        <v>30.2</v>
      </c>
      <c r="I76" s="46" t="n">
        <v>43.8</v>
      </c>
      <c r="J76" s="46" t="n">
        <v>3.3</v>
      </c>
      <c r="K76" s="46" t="n">
        <v>5.91</v>
      </c>
      <c r="L76" s="46" t="n">
        <v>12</v>
      </c>
      <c r="M76" s="45" t="s">
        <v>427</v>
      </c>
      <c r="N76" s="44" t="s">
        <v>145</v>
      </c>
    </row>
    <row r="77" customFormat="false" ht="15" hidden="false" customHeight="false" outlineLevel="0" collapsed="false">
      <c r="A77" s="44" t="s">
        <v>428</v>
      </c>
      <c r="B77" s="45" t="s">
        <v>389</v>
      </c>
      <c r="C77" s="45" t="s">
        <v>429</v>
      </c>
      <c r="D77" s="44" t="s">
        <v>430</v>
      </c>
      <c r="E77" s="44" t="s">
        <v>149</v>
      </c>
      <c r="F77" s="46" t="n">
        <v>560</v>
      </c>
      <c r="G77" s="46" t="n">
        <v>20.2</v>
      </c>
      <c r="H77" s="46" t="n">
        <v>27.2</v>
      </c>
      <c r="I77" s="46" t="n">
        <v>45.3</v>
      </c>
      <c r="J77" s="46" t="n">
        <v>10.6</v>
      </c>
      <c r="K77" s="46" t="n">
        <v>7.66</v>
      </c>
      <c r="L77" s="46" t="n">
        <v>1</v>
      </c>
      <c r="M77" s="45" t="s">
        <v>431</v>
      </c>
      <c r="N77" s="44" t="s">
        <v>145</v>
      </c>
    </row>
    <row r="78" customFormat="false" ht="15" hidden="false" customHeight="false" outlineLevel="0" collapsed="false">
      <c r="A78" s="44" t="s">
        <v>432</v>
      </c>
      <c r="B78" s="45" t="s">
        <v>389</v>
      </c>
      <c r="C78" s="45" t="s">
        <v>433</v>
      </c>
      <c r="D78" s="44" t="s">
        <v>434</v>
      </c>
      <c r="E78" s="44" t="s">
        <v>149</v>
      </c>
      <c r="F78" s="46" t="n">
        <v>567</v>
      </c>
      <c r="G78" s="46" t="n">
        <v>25.8</v>
      </c>
      <c r="H78" s="46" t="n">
        <v>16.1</v>
      </c>
      <c r="I78" s="46" t="n">
        <v>49.2</v>
      </c>
      <c r="J78" s="46" t="n">
        <v>8.5</v>
      </c>
      <c r="K78" s="46" t="n">
        <v>4.72</v>
      </c>
      <c r="L78" s="46" t="n">
        <v>18</v>
      </c>
      <c r="M78" s="45" t="s">
        <v>435</v>
      </c>
      <c r="N78" s="44" t="s">
        <v>145</v>
      </c>
    </row>
    <row r="79" customFormat="false" ht="15" hidden="false" customHeight="false" outlineLevel="0" collapsed="false">
      <c r="A79" s="44" t="s">
        <v>436</v>
      </c>
      <c r="B79" s="45" t="s">
        <v>389</v>
      </c>
      <c r="C79" s="45" t="s">
        <v>437</v>
      </c>
      <c r="D79" s="44" t="s">
        <v>438</v>
      </c>
      <c r="E79" s="44" t="s">
        <v>149</v>
      </c>
      <c r="F79" s="46" t="n">
        <v>160</v>
      </c>
      <c r="G79" s="46" t="n">
        <v>2</v>
      </c>
      <c r="H79" s="46" t="n">
        <v>8.53</v>
      </c>
      <c r="I79" s="46" t="n">
        <v>14.7</v>
      </c>
      <c r="J79" s="46" t="n">
        <v>6.7</v>
      </c>
      <c r="K79" s="46" t="n">
        <v>0.66</v>
      </c>
      <c r="L79" s="46" t="n">
        <v>7</v>
      </c>
      <c r="M79" s="45" t="s">
        <v>439</v>
      </c>
      <c r="N79" s="44" t="s">
        <v>145</v>
      </c>
    </row>
    <row r="80" customFormat="false" ht="15" hidden="false" customHeight="false" outlineLevel="0" collapsed="false">
      <c r="A80" s="44" t="s">
        <v>440</v>
      </c>
      <c r="B80" s="45" t="s">
        <v>389</v>
      </c>
      <c r="C80" s="45" t="s">
        <v>441</v>
      </c>
      <c r="D80" s="44" t="s">
        <v>442</v>
      </c>
      <c r="E80" s="44" t="s">
        <v>166</v>
      </c>
      <c r="F80" s="46" t="n">
        <v>486</v>
      </c>
      <c r="G80" s="46" t="n">
        <v>16.5</v>
      </c>
      <c r="H80" s="46" t="n">
        <v>42.1</v>
      </c>
      <c r="I80" s="46" t="n">
        <v>30.7</v>
      </c>
      <c r="J80" s="46" t="n">
        <v>34.4</v>
      </c>
      <c r="K80" s="46"/>
      <c r="L80" s="46" t="n">
        <v>16</v>
      </c>
      <c r="M80" s="45" t="s">
        <v>443</v>
      </c>
      <c r="N80" s="44" t="s">
        <v>145</v>
      </c>
    </row>
    <row r="81" customFormat="false" ht="15" hidden="false" customHeight="false" outlineLevel="0" collapsed="false">
      <c r="A81" s="44" t="s">
        <v>444</v>
      </c>
      <c r="B81" s="45" t="s">
        <v>389</v>
      </c>
      <c r="C81" s="45" t="s">
        <v>445</v>
      </c>
      <c r="D81" s="44" t="s">
        <v>446</v>
      </c>
      <c r="E81" s="44" t="s">
        <v>320</v>
      </c>
      <c r="F81" s="46" t="n">
        <v>116</v>
      </c>
      <c r="G81" s="46" t="n">
        <v>0.84</v>
      </c>
      <c r="H81" s="46" t="n">
        <v>6.04</v>
      </c>
      <c r="I81" s="46" t="n">
        <v>10.9</v>
      </c>
      <c r="J81" s="46" t="n">
        <v>1.6</v>
      </c>
      <c r="K81" s="46" t="n">
        <v>0</v>
      </c>
      <c r="L81" s="46" t="n">
        <v>735</v>
      </c>
      <c r="M81" s="45" t="s">
        <v>447</v>
      </c>
      <c r="N81" s="44" t="s">
        <v>145</v>
      </c>
    </row>
    <row r="82" customFormat="false" ht="15" hidden="false" customHeight="false" outlineLevel="0" collapsed="false">
      <c r="A82" s="44" t="s">
        <v>448</v>
      </c>
      <c r="B82" s="45" t="s">
        <v>449</v>
      </c>
      <c r="C82" s="45" t="s">
        <v>90</v>
      </c>
      <c r="D82" s="44" t="s">
        <v>450</v>
      </c>
      <c r="E82" s="44" t="s">
        <v>149</v>
      </c>
      <c r="F82" s="46" t="n">
        <v>89</v>
      </c>
      <c r="G82" s="46" t="n">
        <v>1.09</v>
      </c>
      <c r="H82" s="46" t="n">
        <v>22.8</v>
      </c>
      <c r="I82" s="46" t="n">
        <v>0.33</v>
      </c>
      <c r="J82" s="46" t="n">
        <v>2.6</v>
      </c>
      <c r="K82" s="46" t="n">
        <v>12.2</v>
      </c>
      <c r="L82" s="46" t="n">
        <v>1</v>
      </c>
      <c r="M82" s="45" t="s">
        <v>451</v>
      </c>
      <c r="N82" s="44" t="s">
        <v>145</v>
      </c>
    </row>
    <row r="83" customFormat="false" ht="15" hidden="false" customHeight="false" outlineLevel="0" collapsed="false">
      <c r="A83" s="44" t="s">
        <v>452</v>
      </c>
      <c r="B83" s="45" t="s">
        <v>449</v>
      </c>
      <c r="C83" s="45" t="s">
        <v>453</v>
      </c>
      <c r="D83" s="44" t="s">
        <v>454</v>
      </c>
      <c r="E83" s="44" t="s">
        <v>149</v>
      </c>
      <c r="F83" s="46" t="n">
        <v>52</v>
      </c>
      <c r="G83" s="46" t="n">
        <v>0.26</v>
      </c>
      <c r="H83" s="46" t="n">
        <v>13.8</v>
      </c>
      <c r="I83" s="46" t="n">
        <v>0.17</v>
      </c>
      <c r="J83" s="46" t="n">
        <v>2.4</v>
      </c>
      <c r="K83" s="46" t="n">
        <v>10.4</v>
      </c>
      <c r="L83" s="46" t="n">
        <v>1</v>
      </c>
      <c r="M83" s="45" t="s">
        <v>455</v>
      </c>
      <c r="N83" s="44" t="s">
        <v>145</v>
      </c>
    </row>
    <row r="84" customFormat="false" ht="15" hidden="false" customHeight="false" outlineLevel="0" collapsed="false">
      <c r="A84" s="44" t="s">
        <v>456</v>
      </c>
      <c r="B84" s="45" t="s">
        <v>449</v>
      </c>
      <c r="C84" s="45" t="s">
        <v>457</v>
      </c>
      <c r="D84" s="44" t="s">
        <v>458</v>
      </c>
      <c r="E84" s="44" t="s">
        <v>149</v>
      </c>
      <c r="F84" s="46" t="n">
        <v>47</v>
      </c>
      <c r="G84" s="46" t="n">
        <v>0.94</v>
      </c>
      <c r="H84" s="46" t="n">
        <v>11.8</v>
      </c>
      <c r="I84" s="46" t="n">
        <v>0.12</v>
      </c>
      <c r="J84" s="46" t="n">
        <v>2.4</v>
      </c>
      <c r="K84" s="46" t="n">
        <v>9.35</v>
      </c>
      <c r="L84" s="46" t="n">
        <v>0</v>
      </c>
      <c r="M84" s="45" t="s">
        <v>459</v>
      </c>
      <c r="N84" s="44" t="s">
        <v>145</v>
      </c>
    </row>
    <row r="85" customFormat="false" ht="15" hidden="false" customHeight="false" outlineLevel="0" collapsed="false">
      <c r="A85" s="44" t="s">
        <v>460</v>
      </c>
      <c r="B85" s="45" t="s">
        <v>449</v>
      </c>
      <c r="C85" s="45" t="s">
        <v>93</v>
      </c>
      <c r="D85" s="44" t="s">
        <v>461</v>
      </c>
      <c r="E85" s="44" t="s">
        <v>198</v>
      </c>
      <c r="F85" s="46" t="n">
        <v>277</v>
      </c>
      <c r="G85" s="46" t="n">
        <v>1.81</v>
      </c>
      <c r="H85" s="46" t="n">
        <v>75</v>
      </c>
      <c r="I85" s="46" t="n">
        <v>0.15</v>
      </c>
      <c r="J85" s="46" t="n">
        <v>6.7</v>
      </c>
      <c r="K85" s="46" t="n">
        <v>66.5</v>
      </c>
      <c r="L85" s="46" t="n">
        <v>1</v>
      </c>
      <c r="M85" s="45" t="s">
        <v>462</v>
      </c>
      <c r="N85" s="44" t="s">
        <v>145</v>
      </c>
    </row>
    <row r="86" customFormat="false" ht="15" hidden="false" customHeight="false" outlineLevel="0" collapsed="false">
      <c r="A86" s="44" t="s">
        <v>463</v>
      </c>
      <c r="B86" s="45" t="s">
        <v>449</v>
      </c>
      <c r="C86" s="45" t="s">
        <v>464</v>
      </c>
      <c r="D86" s="44" t="s">
        <v>465</v>
      </c>
      <c r="E86" s="44" t="s">
        <v>198</v>
      </c>
      <c r="F86" s="46" t="n">
        <v>282</v>
      </c>
      <c r="G86" s="46" t="n">
        <v>2.45</v>
      </c>
      <c r="H86" s="46" t="n">
        <v>75</v>
      </c>
      <c r="I86" s="46" t="n">
        <v>0.39</v>
      </c>
      <c r="J86" s="46" t="n">
        <v>8</v>
      </c>
      <c r="K86" s="46" t="n">
        <v>63.4</v>
      </c>
      <c r="L86" s="46" t="n">
        <v>2</v>
      </c>
      <c r="M86" s="45" t="s">
        <v>466</v>
      </c>
      <c r="N86" s="44" t="s">
        <v>145</v>
      </c>
    </row>
    <row r="87" customFormat="false" ht="15" hidden="false" customHeight="false" outlineLevel="0" collapsed="false">
      <c r="A87" s="44" t="s">
        <v>467</v>
      </c>
      <c r="B87" s="45" t="s">
        <v>449</v>
      </c>
      <c r="C87" s="45" t="s">
        <v>468</v>
      </c>
      <c r="D87" s="44" t="s">
        <v>469</v>
      </c>
      <c r="E87" s="44" t="s">
        <v>149</v>
      </c>
      <c r="F87" s="46" t="n">
        <v>69</v>
      </c>
      <c r="G87" s="46" t="n">
        <v>0.72</v>
      </c>
      <c r="H87" s="46" t="n">
        <v>18.1</v>
      </c>
      <c r="I87" s="46" t="n">
        <v>0.16</v>
      </c>
      <c r="J87" s="46" t="n">
        <v>0.9</v>
      </c>
      <c r="K87" s="46" t="n">
        <v>15.5</v>
      </c>
      <c r="L87" s="46" t="n">
        <v>2</v>
      </c>
      <c r="M87" s="45" t="s">
        <v>470</v>
      </c>
      <c r="N87" s="44" t="s">
        <v>145</v>
      </c>
    </row>
    <row r="88" customFormat="false" ht="15" hidden="false" customHeight="false" outlineLevel="0" collapsed="false">
      <c r="A88" s="44" t="s">
        <v>471</v>
      </c>
      <c r="B88" s="45" t="s">
        <v>449</v>
      </c>
      <c r="C88" s="45" t="s">
        <v>472</v>
      </c>
      <c r="D88" s="44" t="s">
        <v>473</v>
      </c>
      <c r="E88" s="44" t="s">
        <v>149</v>
      </c>
      <c r="F88" s="46" t="n">
        <v>30</v>
      </c>
      <c r="G88" s="46" t="n">
        <v>0.61</v>
      </c>
      <c r="H88" s="46" t="n">
        <v>7.55</v>
      </c>
      <c r="I88" s="46" t="n">
        <v>0.15</v>
      </c>
      <c r="J88" s="46" t="n">
        <v>0.4</v>
      </c>
      <c r="K88" s="46" t="n">
        <v>6.2</v>
      </c>
      <c r="L88" s="46" t="n">
        <v>1</v>
      </c>
      <c r="M88" s="45" t="s">
        <v>474</v>
      </c>
      <c r="N88" s="44" t="s">
        <v>145</v>
      </c>
    </row>
    <row r="89" customFormat="false" ht="15" hidden="false" customHeight="false" outlineLevel="0" collapsed="false">
      <c r="A89" s="44" t="s">
        <v>475</v>
      </c>
      <c r="B89" s="45" t="s">
        <v>449</v>
      </c>
      <c r="C89" s="45" t="s">
        <v>476</v>
      </c>
      <c r="D89" s="44" t="s">
        <v>477</v>
      </c>
      <c r="E89" s="44" t="s">
        <v>149</v>
      </c>
      <c r="F89" s="46" t="n">
        <v>34</v>
      </c>
      <c r="G89" s="46" t="n">
        <v>0.84</v>
      </c>
      <c r="H89" s="46" t="n">
        <v>8.16</v>
      </c>
      <c r="I89" s="46" t="n">
        <v>0.19</v>
      </c>
      <c r="J89" s="46" t="n">
        <v>0.9</v>
      </c>
      <c r="K89" s="46" t="n">
        <v>7.86</v>
      </c>
      <c r="L89" s="46" t="n">
        <v>16</v>
      </c>
      <c r="M89" s="45" t="s">
        <v>478</v>
      </c>
      <c r="N89" s="44" t="s">
        <v>145</v>
      </c>
    </row>
    <row r="90" customFormat="false" ht="15" hidden="false" customHeight="false" outlineLevel="0" collapsed="false">
      <c r="A90" s="44" t="s">
        <v>479</v>
      </c>
      <c r="B90" s="45" t="s">
        <v>449</v>
      </c>
      <c r="C90" s="45" t="s">
        <v>480</v>
      </c>
      <c r="D90" s="44" t="s">
        <v>481</v>
      </c>
      <c r="E90" s="44" t="s">
        <v>149</v>
      </c>
      <c r="F90" s="46" t="n">
        <v>32</v>
      </c>
      <c r="G90" s="46" t="n">
        <v>0.67</v>
      </c>
      <c r="H90" s="46" t="n">
        <v>7.68</v>
      </c>
      <c r="I90" s="46" t="n">
        <v>0.3</v>
      </c>
      <c r="J90" s="46" t="n">
        <v>2</v>
      </c>
      <c r="K90" s="46" t="n">
        <v>4.89</v>
      </c>
      <c r="L90" s="46" t="n">
        <v>1</v>
      </c>
      <c r="M90" s="45" t="s">
        <v>482</v>
      </c>
      <c r="N90" s="44" t="s">
        <v>145</v>
      </c>
    </row>
    <row r="91" customFormat="false" ht="15" hidden="false" customHeight="false" outlineLevel="0" collapsed="false">
      <c r="A91" s="44" t="s">
        <v>483</v>
      </c>
      <c r="B91" s="45" t="s">
        <v>449</v>
      </c>
      <c r="C91" s="45" t="s">
        <v>484</v>
      </c>
      <c r="D91" s="44" t="s">
        <v>485</v>
      </c>
      <c r="E91" s="44" t="s">
        <v>149</v>
      </c>
      <c r="F91" s="46" t="n">
        <v>60</v>
      </c>
      <c r="G91" s="46" t="n">
        <v>0.82</v>
      </c>
      <c r="H91" s="46" t="n">
        <v>15</v>
      </c>
      <c r="I91" s="46" t="n">
        <v>0.38</v>
      </c>
      <c r="J91" s="46" t="n">
        <v>1.6</v>
      </c>
      <c r="K91" s="46" t="n">
        <v>13.7</v>
      </c>
      <c r="L91" s="46" t="n">
        <v>1</v>
      </c>
      <c r="M91" s="45" t="s">
        <v>486</v>
      </c>
      <c r="N91" s="44" t="s">
        <v>145</v>
      </c>
    </row>
    <row r="92" customFormat="false" ht="15" hidden="false" customHeight="false" outlineLevel="0" collapsed="false">
      <c r="A92" s="44" t="s">
        <v>487</v>
      </c>
      <c r="B92" s="45" t="s">
        <v>449</v>
      </c>
      <c r="C92" s="45" t="s">
        <v>488</v>
      </c>
      <c r="D92" s="44" t="s">
        <v>489</v>
      </c>
      <c r="E92" s="44" t="s">
        <v>149</v>
      </c>
      <c r="F92" s="46" t="n">
        <v>57</v>
      </c>
      <c r="G92" s="46" t="n">
        <v>0.36</v>
      </c>
      <c r="H92" s="46" t="n">
        <v>15.2</v>
      </c>
      <c r="I92" s="46" t="n">
        <v>0.14</v>
      </c>
      <c r="J92" s="46" t="n">
        <v>3.1</v>
      </c>
      <c r="K92" s="46" t="n">
        <v>9.75</v>
      </c>
      <c r="L92" s="46" t="n">
        <v>1</v>
      </c>
      <c r="M92" s="45" t="s">
        <v>490</v>
      </c>
      <c r="N92" s="44" t="s">
        <v>145</v>
      </c>
    </row>
    <row r="93" customFormat="false" ht="15" hidden="false" customHeight="false" outlineLevel="0" collapsed="false">
      <c r="A93" s="44" t="s">
        <v>491</v>
      </c>
      <c r="B93" s="45" t="s">
        <v>449</v>
      </c>
      <c r="C93" s="45" t="s">
        <v>492</v>
      </c>
      <c r="D93" s="44" t="s">
        <v>493</v>
      </c>
      <c r="E93" s="44" t="s">
        <v>149</v>
      </c>
      <c r="F93" s="46" t="n">
        <v>50</v>
      </c>
      <c r="G93" s="46" t="n">
        <v>0.54</v>
      </c>
      <c r="H93" s="46" t="n">
        <v>13.1</v>
      </c>
      <c r="I93" s="46" t="n">
        <v>0.12</v>
      </c>
      <c r="J93" s="46" t="n">
        <v>1.4</v>
      </c>
      <c r="K93" s="46" t="n">
        <v>9.85</v>
      </c>
      <c r="L93" s="46" t="n">
        <v>1</v>
      </c>
      <c r="M93" s="45" t="s">
        <v>494</v>
      </c>
      <c r="N93" s="44" t="s">
        <v>145</v>
      </c>
    </row>
    <row r="94" customFormat="false" ht="15" hidden="false" customHeight="false" outlineLevel="0" collapsed="false">
      <c r="A94" s="44" t="s">
        <v>495</v>
      </c>
      <c r="B94" s="45" t="s">
        <v>449</v>
      </c>
      <c r="C94" s="45" t="s">
        <v>496</v>
      </c>
      <c r="D94" s="44" t="s">
        <v>497</v>
      </c>
      <c r="E94" s="44" t="s">
        <v>149</v>
      </c>
      <c r="F94" s="46" t="n">
        <v>83</v>
      </c>
      <c r="G94" s="46" t="n">
        <v>1.67</v>
      </c>
      <c r="H94" s="46" t="n">
        <v>18.7</v>
      </c>
      <c r="I94" s="46" t="n">
        <v>1.17</v>
      </c>
      <c r="J94" s="46" t="n">
        <v>4</v>
      </c>
      <c r="K94" s="46" t="n">
        <v>13.7</v>
      </c>
      <c r="L94" s="46" t="n">
        <v>3</v>
      </c>
      <c r="M94" s="45" t="s">
        <v>498</v>
      </c>
      <c r="N94" s="44" t="s">
        <v>145</v>
      </c>
    </row>
    <row r="95" customFormat="false" ht="15" hidden="false" customHeight="false" outlineLevel="0" collapsed="false">
      <c r="A95" s="44" t="s">
        <v>499</v>
      </c>
      <c r="B95" s="45" t="s">
        <v>449</v>
      </c>
      <c r="C95" s="45" t="s">
        <v>500</v>
      </c>
      <c r="D95" s="44" t="s">
        <v>501</v>
      </c>
      <c r="E95" s="44" t="s">
        <v>149</v>
      </c>
      <c r="F95" s="46" t="n">
        <v>74</v>
      </c>
      <c r="G95" s="46" t="n">
        <v>0.75</v>
      </c>
      <c r="H95" s="46" t="n">
        <v>19.2</v>
      </c>
      <c r="I95" s="46" t="n">
        <v>0.3</v>
      </c>
      <c r="J95" s="46" t="n">
        <v>2.9</v>
      </c>
      <c r="K95" s="46" t="n">
        <v>16.3</v>
      </c>
      <c r="L95" s="46" t="n">
        <v>1</v>
      </c>
      <c r="M95" s="45" t="s">
        <v>502</v>
      </c>
      <c r="N95" s="44" t="s">
        <v>145</v>
      </c>
    </row>
    <row r="96" customFormat="false" ht="15" hidden="false" customHeight="false" outlineLevel="0" collapsed="false">
      <c r="A96" s="44" t="s">
        <v>503</v>
      </c>
      <c r="B96" s="45" t="s">
        <v>449</v>
      </c>
      <c r="C96" s="45" t="s">
        <v>504</v>
      </c>
      <c r="D96" s="44" t="s">
        <v>505</v>
      </c>
      <c r="E96" s="44" t="s">
        <v>149</v>
      </c>
      <c r="F96" s="46" t="n">
        <v>61</v>
      </c>
      <c r="G96" s="46" t="n">
        <v>1.14</v>
      </c>
      <c r="H96" s="46" t="n">
        <v>14.7</v>
      </c>
      <c r="I96" s="46" t="n">
        <v>0.52</v>
      </c>
      <c r="J96" s="46" t="n">
        <v>3</v>
      </c>
      <c r="K96" s="46" t="n">
        <v>8.99</v>
      </c>
      <c r="L96" s="46" t="n">
        <v>3</v>
      </c>
      <c r="M96" s="45" t="s">
        <v>506</v>
      </c>
      <c r="N96" s="44" t="s">
        <v>145</v>
      </c>
    </row>
    <row r="97" customFormat="false" ht="15" hidden="false" customHeight="false" outlineLevel="0" collapsed="false">
      <c r="A97" s="44" t="s">
        <v>507</v>
      </c>
      <c r="B97" s="45" t="s">
        <v>449</v>
      </c>
      <c r="C97" s="45" t="s">
        <v>508</v>
      </c>
      <c r="D97" s="44" t="s">
        <v>509</v>
      </c>
      <c r="E97" s="44" t="s">
        <v>149</v>
      </c>
      <c r="F97" s="46" t="n">
        <v>57</v>
      </c>
      <c r="G97" s="46" t="n">
        <v>0.74</v>
      </c>
      <c r="H97" s="46" t="n">
        <v>14.5</v>
      </c>
      <c r="I97" s="46" t="n">
        <v>0.33</v>
      </c>
      <c r="J97" s="46" t="n">
        <v>2.4</v>
      </c>
      <c r="K97" s="46" t="n">
        <v>9.96</v>
      </c>
      <c r="L97" s="46" t="n">
        <v>1</v>
      </c>
      <c r="M97" s="45" t="s">
        <v>510</v>
      </c>
      <c r="N97" s="44" t="s">
        <v>145</v>
      </c>
    </row>
    <row r="98" customFormat="false" ht="15" hidden="false" customHeight="false" outlineLevel="0" collapsed="false">
      <c r="A98" s="44" t="s">
        <v>511</v>
      </c>
      <c r="B98" s="45" t="s">
        <v>449</v>
      </c>
      <c r="C98" s="45" t="s">
        <v>512</v>
      </c>
      <c r="D98" s="44" t="s">
        <v>513</v>
      </c>
      <c r="E98" s="44" t="s">
        <v>198</v>
      </c>
      <c r="F98" s="46" t="n">
        <v>299</v>
      </c>
      <c r="G98" s="46" t="n">
        <v>3.3</v>
      </c>
      <c r="H98" s="46" t="n">
        <v>79.3</v>
      </c>
      <c r="I98" s="46" t="n">
        <v>0.25</v>
      </c>
      <c r="J98" s="46" t="n">
        <v>4.5</v>
      </c>
      <c r="K98" s="46" t="n">
        <v>65.2</v>
      </c>
      <c r="L98" s="46" t="n">
        <v>26</v>
      </c>
      <c r="M98" s="45" t="s">
        <v>514</v>
      </c>
      <c r="N98" s="44" t="s">
        <v>145</v>
      </c>
    </row>
    <row r="99" customFormat="false" ht="15" hidden="false" customHeight="false" outlineLevel="0" collapsed="false">
      <c r="A99" s="44" t="s">
        <v>515</v>
      </c>
      <c r="B99" s="45" t="s">
        <v>449</v>
      </c>
      <c r="C99" s="45" t="s">
        <v>516</v>
      </c>
      <c r="D99" s="44" t="s">
        <v>517</v>
      </c>
      <c r="E99" s="44" t="s">
        <v>149</v>
      </c>
      <c r="F99" s="46" t="n">
        <v>45</v>
      </c>
      <c r="G99" s="46" t="n">
        <v>0.7</v>
      </c>
      <c r="H99" s="46" t="n">
        <v>10.4</v>
      </c>
      <c r="I99" s="46" t="n">
        <v>0.2</v>
      </c>
      <c r="J99" s="46" t="n">
        <v>0.2</v>
      </c>
      <c r="K99" s="46" t="n">
        <v>8.4</v>
      </c>
      <c r="L99" s="46" t="n">
        <v>1</v>
      </c>
      <c r="M99" s="45" t="s">
        <v>518</v>
      </c>
      <c r="N99" s="44" t="s">
        <v>145</v>
      </c>
    </row>
    <row r="100" customFormat="false" ht="15" hidden="false" customHeight="false" outlineLevel="0" collapsed="false">
      <c r="A100" s="44" t="s">
        <v>519</v>
      </c>
      <c r="B100" s="45" t="s">
        <v>449</v>
      </c>
      <c r="C100" s="45" t="s">
        <v>520</v>
      </c>
      <c r="D100" s="44" t="s">
        <v>521</v>
      </c>
      <c r="E100" s="44" t="s">
        <v>198</v>
      </c>
      <c r="F100" s="46" t="n">
        <v>304</v>
      </c>
      <c r="G100" s="46" t="n">
        <v>0.3</v>
      </c>
      <c r="H100" s="46" t="n">
        <v>82.4</v>
      </c>
      <c r="I100" s="46" t="n">
        <v>0</v>
      </c>
      <c r="J100" s="46" t="n">
        <v>0.2</v>
      </c>
      <c r="K100" s="46" t="n">
        <v>82.1</v>
      </c>
      <c r="L100" s="46" t="n">
        <v>4</v>
      </c>
      <c r="M100" s="45" t="s">
        <v>522</v>
      </c>
      <c r="N100" s="44" t="s">
        <v>145</v>
      </c>
    </row>
    <row r="101" customFormat="false" ht="15" hidden="false" customHeight="false" outlineLevel="0" collapsed="false">
      <c r="A101" s="44" t="s">
        <v>523</v>
      </c>
      <c r="B101" s="45" t="s">
        <v>449</v>
      </c>
      <c r="C101" s="45" t="s">
        <v>524</v>
      </c>
      <c r="D101" s="44" t="s">
        <v>525</v>
      </c>
      <c r="E101" s="44" t="s">
        <v>198</v>
      </c>
      <c r="F101" s="46" t="n">
        <v>387</v>
      </c>
      <c r="G101" s="46" t="n">
        <v>0</v>
      </c>
      <c r="H101" s="46" t="n">
        <v>100</v>
      </c>
      <c r="I101" s="46" t="n">
        <v>0</v>
      </c>
      <c r="J101" s="46" t="n">
        <v>0</v>
      </c>
      <c r="K101" s="46" t="n">
        <v>99.8</v>
      </c>
      <c r="L101" s="46" t="n">
        <v>1</v>
      </c>
      <c r="M101" s="45" t="s">
        <v>526</v>
      </c>
      <c r="N101" s="44" t="s">
        <v>145</v>
      </c>
    </row>
    <row r="102" customFormat="false" ht="15" hidden="false" customHeight="false" outlineLevel="0" collapsed="false">
      <c r="A102" s="44" t="s">
        <v>527</v>
      </c>
      <c r="B102" s="45" t="s">
        <v>449</v>
      </c>
      <c r="C102" s="45" t="s">
        <v>528</v>
      </c>
      <c r="D102" s="44" t="s">
        <v>529</v>
      </c>
      <c r="E102" s="44" t="s">
        <v>198</v>
      </c>
      <c r="F102" s="46" t="n">
        <v>278</v>
      </c>
      <c r="G102" s="46" t="n">
        <v>0.37</v>
      </c>
      <c r="H102" s="46" t="n">
        <v>68.9</v>
      </c>
      <c r="I102" s="46" t="n">
        <v>0.07</v>
      </c>
      <c r="J102" s="46" t="n">
        <v>1.1</v>
      </c>
      <c r="K102" s="46" t="n">
        <v>48.5</v>
      </c>
      <c r="L102" s="46" t="n">
        <v>32</v>
      </c>
      <c r="M102" s="45" t="s">
        <v>530</v>
      </c>
      <c r="N102" s="44" t="s">
        <v>145</v>
      </c>
    </row>
    <row r="103" customFormat="false" ht="15" hidden="false" customHeight="false" outlineLevel="0" collapsed="false">
      <c r="A103" s="44" t="s">
        <v>531</v>
      </c>
      <c r="B103" s="45" t="s">
        <v>449</v>
      </c>
      <c r="C103" s="45" t="s">
        <v>532</v>
      </c>
      <c r="D103" s="44" t="s">
        <v>533</v>
      </c>
      <c r="E103" s="44" t="s">
        <v>198</v>
      </c>
      <c r="F103" s="46" t="n">
        <v>550</v>
      </c>
      <c r="G103" s="46" t="n">
        <v>5.09</v>
      </c>
      <c r="H103" s="46" t="n">
        <v>60</v>
      </c>
      <c r="I103" s="46" t="n">
        <v>32.2</v>
      </c>
      <c r="J103" s="46" t="n">
        <v>7.2</v>
      </c>
      <c r="K103" s="46" t="n">
        <v>46.1</v>
      </c>
      <c r="L103" s="46" t="n">
        <v>23</v>
      </c>
      <c r="M103" s="45" t="s">
        <v>534</v>
      </c>
      <c r="N103" s="44" t="s">
        <v>145</v>
      </c>
    </row>
    <row r="104" customFormat="false" ht="15" hidden="false" customHeight="false" outlineLevel="0" collapsed="false">
      <c r="A104" s="44" t="s">
        <v>535</v>
      </c>
      <c r="B104" s="45" t="s">
        <v>536</v>
      </c>
      <c r="C104" s="45" t="s">
        <v>537</v>
      </c>
      <c r="D104" s="44" t="s">
        <v>538</v>
      </c>
      <c r="E104" s="44" t="s">
        <v>149</v>
      </c>
      <c r="F104" s="46" t="n">
        <v>18</v>
      </c>
      <c r="G104" s="46" t="n">
        <v>0.88</v>
      </c>
      <c r="H104" s="46" t="n">
        <v>3.89</v>
      </c>
      <c r="I104" s="46" t="n">
        <v>0.2</v>
      </c>
      <c r="J104" s="46" t="n">
        <v>1.2</v>
      </c>
      <c r="K104" s="46" t="n">
        <v>2.63</v>
      </c>
      <c r="L104" s="46" t="n">
        <v>5</v>
      </c>
      <c r="M104" s="45" t="s">
        <v>539</v>
      </c>
      <c r="N104" s="44" t="s">
        <v>145</v>
      </c>
    </row>
    <row r="105" customFormat="false" ht="15" hidden="false" customHeight="false" outlineLevel="0" collapsed="false">
      <c r="A105" s="44" t="s">
        <v>540</v>
      </c>
      <c r="B105" s="45" t="s">
        <v>536</v>
      </c>
      <c r="C105" s="45" t="s">
        <v>541</v>
      </c>
      <c r="D105" s="44" t="s">
        <v>542</v>
      </c>
      <c r="E105" s="44" t="s">
        <v>149</v>
      </c>
      <c r="F105" s="46" t="n">
        <v>15</v>
      </c>
      <c r="G105" s="46" t="n">
        <v>0.65</v>
      </c>
      <c r="H105" s="46" t="n">
        <v>3.63</v>
      </c>
      <c r="I105" s="46" t="n">
        <v>0.11</v>
      </c>
      <c r="J105" s="46" t="n">
        <v>0.5</v>
      </c>
      <c r="K105" s="46" t="n">
        <v>1.67</v>
      </c>
      <c r="L105" s="46" t="n">
        <v>2</v>
      </c>
      <c r="M105" s="45" t="s">
        <v>543</v>
      </c>
      <c r="N105" s="44" t="s">
        <v>145</v>
      </c>
    </row>
    <row r="106" customFormat="false" ht="15" hidden="false" customHeight="false" outlineLevel="0" collapsed="false">
      <c r="A106" s="44" t="s">
        <v>544</v>
      </c>
      <c r="B106" s="45" t="s">
        <v>536</v>
      </c>
      <c r="C106" s="45" t="s">
        <v>102</v>
      </c>
      <c r="D106" s="44" t="s">
        <v>545</v>
      </c>
      <c r="E106" s="44" t="s">
        <v>149</v>
      </c>
      <c r="F106" s="46" t="n">
        <v>17</v>
      </c>
      <c r="G106" s="46" t="n">
        <v>1.23</v>
      </c>
      <c r="H106" s="46" t="n">
        <v>3.29</v>
      </c>
      <c r="I106" s="46" t="n">
        <v>0.3</v>
      </c>
      <c r="J106" s="46" t="n">
        <v>2.1</v>
      </c>
      <c r="K106" s="46" t="n">
        <v>1.19</v>
      </c>
      <c r="L106" s="46" t="n">
        <v>8</v>
      </c>
      <c r="M106" s="45" t="s">
        <v>546</v>
      </c>
      <c r="N106" s="44" t="s">
        <v>145</v>
      </c>
    </row>
    <row r="107" customFormat="false" ht="15" hidden="false" customHeight="false" outlineLevel="0" collapsed="false">
      <c r="A107" s="44" t="s">
        <v>547</v>
      </c>
      <c r="B107" s="45" t="s">
        <v>536</v>
      </c>
      <c r="C107" s="45" t="s">
        <v>548</v>
      </c>
      <c r="D107" s="44" t="s">
        <v>549</v>
      </c>
      <c r="E107" s="44" t="s">
        <v>149</v>
      </c>
      <c r="F107" s="46" t="n">
        <v>25</v>
      </c>
      <c r="G107" s="46" t="n">
        <v>2.58</v>
      </c>
      <c r="H107" s="46" t="n">
        <v>3.65</v>
      </c>
      <c r="I107" s="46" t="n">
        <v>0.66</v>
      </c>
      <c r="J107" s="46" t="n">
        <v>1.6</v>
      </c>
      <c r="K107" s="46" t="n">
        <v>2.05</v>
      </c>
      <c r="L107" s="46" t="n">
        <v>27</v>
      </c>
      <c r="M107" s="45" t="s">
        <v>550</v>
      </c>
      <c r="N107" s="44" t="s">
        <v>145</v>
      </c>
    </row>
    <row r="108" customFormat="false" ht="15" hidden="false" customHeight="false" outlineLevel="0" collapsed="false">
      <c r="A108" s="44" t="s">
        <v>551</v>
      </c>
      <c r="B108" s="45" t="s">
        <v>536</v>
      </c>
      <c r="C108" s="45" t="s">
        <v>552</v>
      </c>
      <c r="D108" s="44" t="s">
        <v>553</v>
      </c>
      <c r="E108" s="44" t="s">
        <v>149</v>
      </c>
      <c r="F108" s="46" t="n">
        <v>20</v>
      </c>
      <c r="G108" s="46" t="n">
        <v>0.86</v>
      </c>
      <c r="H108" s="46" t="n">
        <v>4.64</v>
      </c>
      <c r="I108" s="46" t="n">
        <v>0.17</v>
      </c>
      <c r="J108" s="46" t="n">
        <v>1.7</v>
      </c>
      <c r="K108" s="46" t="n">
        <v>2.4</v>
      </c>
      <c r="L108" s="46" t="n">
        <v>3</v>
      </c>
      <c r="M108" s="45" t="s">
        <v>554</v>
      </c>
      <c r="N108" s="44" t="s">
        <v>145</v>
      </c>
    </row>
    <row r="109" customFormat="false" ht="15" hidden="false" customHeight="false" outlineLevel="0" collapsed="false">
      <c r="A109" s="44" t="s">
        <v>555</v>
      </c>
      <c r="B109" s="45" t="s">
        <v>536</v>
      </c>
      <c r="C109" s="45" t="s">
        <v>556</v>
      </c>
      <c r="D109" s="44" t="s">
        <v>557</v>
      </c>
      <c r="E109" s="44" t="s">
        <v>149</v>
      </c>
      <c r="F109" s="46" t="n">
        <v>26</v>
      </c>
      <c r="G109" s="46" t="n">
        <v>0.99</v>
      </c>
      <c r="H109" s="46" t="n">
        <v>6.03</v>
      </c>
      <c r="I109" s="46" t="n">
        <v>0.3</v>
      </c>
      <c r="J109" s="46" t="n">
        <v>2.1</v>
      </c>
      <c r="K109" s="46" t="n">
        <v>4.2</v>
      </c>
      <c r="L109" s="46" t="n">
        <v>4</v>
      </c>
      <c r="M109" s="45" t="s">
        <v>558</v>
      </c>
      <c r="N109" s="44" t="s">
        <v>145</v>
      </c>
    </row>
    <row r="110" customFormat="false" ht="15" hidden="false" customHeight="false" outlineLevel="0" collapsed="false">
      <c r="A110" s="44" t="s">
        <v>559</v>
      </c>
      <c r="B110" s="45" t="s">
        <v>536</v>
      </c>
      <c r="C110" s="45" t="s">
        <v>560</v>
      </c>
      <c r="D110" s="44" t="s">
        <v>561</v>
      </c>
      <c r="E110" s="44" t="s">
        <v>149</v>
      </c>
      <c r="F110" s="46" t="n">
        <v>41</v>
      </c>
      <c r="G110" s="46" t="n">
        <v>0.93</v>
      </c>
      <c r="H110" s="46" t="n">
        <v>9.58</v>
      </c>
      <c r="I110" s="46" t="n">
        <v>0.24</v>
      </c>
      <c r="J110" s="46" t="n">
        <v>2.8</v>
      </c>
      <c r="K110" s="46" t="n">
        <v>4.74</v>
      </c>
      <c r="L110" s="46" t="n">
        <v>69</v>
      </c>
      <c r="M110" s="45" t="s">
        <v>562</v>
      </c>
      <c r="N110" s="44" t="s">
        <v>145</v>
      </c>
    </row>
    <row r="111" customFormat="false" ht="15" hidden="false" customHeight="false" outlineLevel="0" collapsed="false">
      <c r="A111" s="44" t="s">
        <v>563</v>
      </c>
      <c r="B111" s="45" t="s">
        <v>536</v>
      </c>
      <c r="C111" s="45" t="s">
        <v>97</v>
      </c>
      <c r="D111" s="44" t="s">
        <v>564</v>
      </c>
      <c r="E111" s="44" t="s">
        <v>143</v>
      </c>
      <c r="F111" s="46" t="n">
        <v>35</v>
      </c>
      <c r="G111" s="46" t="n">
        <v>2.38</v>
      </c>
      <c r="H111" s="46" t="n">
        <v>7.18</v>
      </c>
      <c r="I111" s="46" t="n">
        <v>0.41</v>
      </c>
      <c r="J111" s="46" t="n">
        <v>3.3</v>
      </c>
      <c r="K111" s="46" t="n">
        <v>1.39</v>
      </c>
      <c r="L111" s="46" t="n">
        <v>41</v>
      </c>
      <c r="M111" s="45" t="s">
        <v>565</v>
      </c>
      <c r="N111" s="44" t="s">
        <v>145</v>
      </c>
    </row>
    <row r="112" customFormat="false" ht="15" hidden="false" customHeight="false" outlineLevel="0" collapsed="false">
      <c r="A112" s="44" t="s">
        <v>566</v>
      </c>
      <c r="B112" s="45" t="s">
        <v>536</v>
      </c>
      <c r="C112" s="45" t="s">
        <v>567</v>
      </c>
      <c r="D112" s="44" t="s">
        <v>568</v>
      </c>
      <c r="E112" s="44" t="s">
        <v>143</v>
      </c>
      <c r="F112" s="46" t="n">
        <v>23</v>
      </c>
      <c r="G112" s="46" t="n">
        <v>2.97</v>
      </c>
      <c r="H112" s="46" t="n">
        <v>3.75</v>
      </c>
      <c r="I112" s="46" t="n">
        <v>0.26</v>
      </c>
      <c r="J112" s="46" t="n">
        <v>2.4</v>
      </c>
      <c r="K112" s="46" t="n">
        <v>0.43</v>
      </c>
      <c r="L112" s="46" t="n">
        <v>70</v>
      </c>
      <c r="M112" s="45" t="s">
        <v>569</v>
      </c>
      <c r="N112" s="44" t="s">
        <v>145</v>
      </c>
    </row>
    <row r="113" customFormat="false" ht="15" hidden="false" customHeight="false" outlineLevel="0" collapsed="false">
      <c r="A113" s="44" t="s">
        <v>570</v>
      </c>
      <c r="B113" s="45" t="s">
        <v>536</v>
      </c>
      <c r="C113" s="45" t="s">
        <v>571</v>
      </c>
      <c r="D113" s="44" t="s">
        <v>572</v>
      </c>
      <c r="E113" s="44" t="s">
        <v>143</v>
      </c>
      <c r="F113" s="46" t="n">
        <v>15</v>
      </c>
      <c r="G113" s="46" t="n">
        <v>1.14</v>
      </c>
      <c r="H113" s="46" t="n">
        <v>2.69</v>
      </c>
      <c r="I113" s="46" t="n">
        <v>0.36</v>
      </c>
      <c r="J113" s="46" t="n">
        <v>1</v>
      </c>
      <c r="K113" s="46" t="n">
        <v>1.71</v>
      </c>
      <c r="L113" s="46" t="n">
        <v>3</v>
      </c>
      <c r="M113" s="45" t="s">
        <v>573</v>
      </c>
      <c r="N113" s="44" t="s">
        <v>145</v>
      </c>
    </row>
    <row r="114" customFormat="false" ht="15" hidden="false" customHeight="false" outlineLevel="0" collapsed="false">
      <c r="A114" s="44" t="s">
        <v>574</v>
      </c>
      <c r="B114" s="45" t="s">
        <v>536</v>
      </c>
      <c r="C114" s="45" t="s">
        <v>575</v>
      </c>
      <c r="D114" s="44" t="s">
        <v>576</v>
      </c>
      <c r="E114" s="44" t="s">
        <v>143</v>
      </c>
      <c r="F114" s="46" t="n">
        <v>35</v>
      </c>
      <c r="G114" s="46" t="n">
        <v>0.83</v>
      </c>
      <c r="H114" s="46" t="n">
        <v>8.73</v>
      </c>
      <c r="I114" s="46" t="n">
        <v>0.23</v>
      </c>
      <c r="J114" s="46" t="n">
        <v>2.5</v>
      </c>
      <c r="K114" s="46" t="n">
        <v>3.2</v>
      </c>
      <c r="L114" s="46" t="n">
        <v>1</v>
      </c>
      <c r="M114" s="45" t="s">
        <v>577</v>
      </c>
      <c r="N114" s="44" t="s">
        <v>145</v>
      </c>
    </row>
    <row r="115" customFormat="false" ht="15" hidden="false" customHeight="false" outlineLevel="0" collapsed="false">
      <c r="A115" s="44" t="s">
        <v>578</v>
      </c>
      <c r="B115" s="45" t="s">
        <v>536</v>
      </c>
      <c r="C115" s="45" t="s">
        <v>579</v>
      </c>
      <c r="D115" s="44" t="s">
        <v>580</v>
      </c>
      <c r="E115" s="44" t="s">
        <v>143</v>
      </c>
      <c r="F115" s="46" t="n">
        <v>22</v>
      </c>
      <c r="G115" s="46" t="n">
        <v>1.87</v>
      </c>
      <c r="H115" s="46" t="n">
        <v>4.51</v>
      </c>
      <c r="I115" s="46" t="n">
        <v>0.21</v>
      </c>
      <c r="J115" s="46" t="n">
        <v>2.5</v>
      </c>
      <c r="K115" s="46" t="n">
        <v>2.4</v>
      </c>
      <c r="L115" s="46" t="n">
        <v>6</v>
      </c>
      <c r="M115" s="45" t="s">
        <v>581</v>
      </c>
      <c r="N115" s="44" t="s">
        <v>145</v>
      </c>
    </row>
    <row r="116" customFormat="false" ht="15" hidden="false" customHeight="false" outlineLevel="0" collapsed="false">
      <c r="A116" s="44" t="s">
        <v>582</v>
      </c>
      <c r="B116" s="45" t="s">
        <v>536</v>
      </c>
      <c r="C116" s="45" t="s">
        <v>583</v>
      </c>
      <c r="D116" s="44" t="s">
        <v>584</v>
      </c>
      <c r="E116" s="44" t="s">
        <v>143</v>
      </c>
      <c r="F116" s="46" t="n">
        <v>37</v>
      </c>
      <c r="G116" s="46" t="n">
        <v>3.68</v>
      </c>
      <c r="H116" s="46" t="n">
        <v>7.29</v>
      </c>
      <c r="I116" s="46" t="n">
        <v>0.2</v>
      </c>
      <c r="J116" s="46" t="n">
        <v>2</v>
      </c>
      <c r="K116" s="46" t="n">
        <v>1</v>
      </c>
      <c r="L116" s="46" t="n">
        <v>11</v>
      </c>
      <c r="M116" s="45" t="s">
        <v>585</v>
      </c>
      <c r="N116" s="44" t="s">
        <v>145</v>
      </c>
    </row>
    <row r="117" customFormat="false" ht="15" hidden="false" customHeight="false" outlineLevel="0" collapsed="false">
      <c r="A117" s="44" t="s">
        <v>586</v>
      </c>
      <c r="B117" s="45" t="s">
        <v>536</v>
      </c>
      <c r="C117" s="45" t="s">
        <v>587</v>
      </c>
      <c r="D117" s="44" t="s">
        <v>588</v>
      </c>
      <c r="E117" s="44" t="s">
        <v>143</v>
      </c>
      <c r="F117" s="46" t="n">
        <v>20</v>
      </c>
      <c r="G117" s="46" t="n">
        <v>0.72</v>
      </c>
      <c r="H117" s="46" t="n">
        <v>4.9</v>
      </c>
      <c r="I117" s="46" t="n">
        <v>0.07</v>
      </c>
      <c r="J117" s="46" t="n">
        <v>1.1</v>
      </c>
      <c r="K117" s="46" t="n">
        <v>2.08</v>
      </c>
      <c r="L117" s="46" t="n">
        <v>1</v>
      </c>
      <c r="M117" s="45" t="s">
        <v>589</v>
      </c>
      <c r="N117" s="44" t="s">
        <v>145</v>
      </c>
    </row>
    <row r="118" customFormat="false" ht="15" hidden="false" customHeight="false" outlineLevel="0" collapsed="false">
      <c r="A118" s="44" t="s">
        <v>590</v>
      </c>
      <c r="B118" s="45" t="s">
        <v>536</v>
      </c>
      <c r="C118" s="45" t="s">
        <v>591</v>
      </c>
      <c r="D118" s="44" t="s">
        <v>592</v>
      </c>
      <c r="E118" s="44" t="s">
        <v>143</v>
      </c>
      <c r="F118" s="46" t="n">
        <v>23</v>
      </c>
      <c r="G118" s="46" t="n">
        <v>1.84</v>
      </c>
      <c r="H118" s="46" t="n">
        <v>4.11</v>
      </c>
      <c r="I118" s="46" t="n">
        <v>0.45</v>
      </c>
      <c r="J118" s="46" t="n">
        <v>2.3</v>
      </c>
      <c r="K118" s="46" t="n">
        <v>2.08</v>
      </c>
      <c r="L118" s="46" t="n">
        <v>15</v>
      </c>
      <c r="M118" s="45" t="s">
        <v>593</v>
      </c>
      <c r="N118" s="44" t="s">
        <v>145</v>
      </c>
    </row>
    <row r="119" customFormat="false" ht="15" hidden="false" customHeight="false" outlineLevel="0" collapsed="false">
      <c r="A119" s="44" t="s">
        <v>594</v>
      </c>
      <c r="B119" s="45" t="s">
        <v>536</v>
      </c>
      <c r="C119" s="45" t="s">
        <v>595</v>
      </c>
      <c r="D119" s="44" t="s">
        <v>596</v>
      </c>
      <c r="E119" s="44" t="s">
        <v>143</v>
      </c>
      <c r="F119" s="46" t="n">
        <v>35</v>
      </c>
      <c r="G119" s="46" t="n">
        <v>1.89</v>
      </c>
      <c r="H119" s="46" t="n">
        <v>7.88</v>
      </c>
      <c r="I119" s="46" t="n">
        <v>0.28</v>
      </c>
      <c r="J119" s="46" t="n">
        <v>3.2</v>
      </c>
      <c r="K119" s="46" t="n">
        <v>3.63</v>
      </c>
      <c r="L119" s="46" t="n">
        <v>1</v>
      </c>
      <c r="M119" s="45" t="s">
        <v>597</v>
      </c>
      <c r="N119" s="44" t="s">
        <v>145</v>
      </c>
    </row>
    <row r="120" customFormat="false" ht="15" hidden="false" customHeight="false" outlineLevel="0" collapsed="false">
      <c r="A120" s="44" t="s">
        <v>598</v>
      </c>
      <c r="B120" s="45" t="s">
        <v>536</v>
      </c>
      <c r="C120" s="45" t="s">
        <v>599</v>
      </c>
      <c r="D120" s="44" t="s">
        <v>600</v>
      </c>
      <c r="E120" s="44" t="s">
        <v>149</v>
      </c>
      <c r="F120" s="46" t="n">
        <v>40</v>
      </c>
      <c r="G120" s="46" t="n">
        <v>1.1</v>
      </c>
      <c r="H120" s="46" t="n">
        <v>9.34</v>
      </c>
      <c r="I120" s="46" t="n">
        <v>0.1</v>
      </c>
      <c r="J120" s="46" t="n">
        <v>1.7</v>
      </c>
      <c r="K120" s="46" t="n">
        <v>4.24</v>
      </c>
      <c r="L120" s="46" t="n">
        <v>4</v>
      </c>
      <c r="M120" s="45" t="s">
        <v>601</v>
      </c>
      <c r="N120" s="44" t="s">
        <v>145</v>
      </c>
    </row>
    <row r="121" customFormat="false" ht="15" hidden="false" customHeight="false" outlineLevel="0" collapsed="false">
      <c r="A121" s="44" t="s">
        <v>602</v>
      </c>
      <c r="B121" s="45" t="s">
        <v>536</v>
      </c>
      <c r="C121" s="45" t="s">
        <v>603</v>
      </c>
      <c r="D121" s="44" t="s">
        <v>604</v>
      </c>
      <c r="E121" s="44" t="s">
        <v>149</v>
      </c>
      <c r="F121" s="46" t="n">
        <v>22</v>
      </c>
      <c r="G121" s="46" t="n">
        <v>3.09</v>
      </c>
      <c r="H121" s="46" t="n">
        <v>3.26</v>
      </c>
      <c r="I121" s="46" t="n">
        <v>0.34</v>
      </c>
      <c r="J121" s="46" t="n">
        <v>1</v>
      </c>
      <c r="K121" s="46" t="n">
        <v>1.98</v>
      </c>
      <c r="L121" s="46" t="n">
        <v>5</v>
      </c>
      <c r="M121" s="45" t="s">
        <v>605</v>
      </c>
      <c r="N121" s="44" t="s">
        <v>145</v>
      </c>
    </row>
    <row r="122" customFormat="false" ht="15" hidden="false" customHeight="false" outlineLevel="0" collapsed="false">
      <c r="A122" s="44" t="s">
        <v>606</v>
      </c>
      <c r="B122" s="45" t="s">
        <v>536</v>
      </c>
      <c r="C122" s="45" t="s">
        <v>607</v>
      </c>
      <c r="D122" s="44" t="s">
        <v>608</v>
      </c>
      <c r="E122" s="44" t="s">
        <v>149</v>
      </c>
      <c r="F122" s="46" t="n">
        <v>25</v>
      </c>
      <c r="G122" s="46" t="n">
        <v>1.28</v>
      </c>
      <c r="H122" s="46" t="n">
        <v>5.8</v>
      </c>
      <c r="I122" s="46" t="n">
        <v>0.1</v>
      </c>
      <c r="J122" s="46" t="n">
        <v>2.5</v>
      </c>
      <c r="K122" s="46" t="n">
        <v>3.2</v>
      </c>
      <c r="L122" s="46" t="n">
        <v>18</v>
      </c>
      <c r="M122" s="45" t="s">
        <v>609</v>
      </c>
      <c r="N122" s="44" t="s">
        <v>145</v>
      </c>
    </row>
    <row r="123" customFormat="false" ht="15" hidden="false" customHeight="false" outlineLevel="0" collapsed="false">
      <c r="A123" s="44" t="s">
        <v>610</v>
      </c>
      <c r="B123" s="45" t="s">
        <v>611</v>
      </c>
      <c r="C123" s="45" t="s">
        <v>612</v>
      </c>
      <c r="D123" s="44" t="s">
        <v>613</v>
      </c>
      <c r="E123" s="44" t="s">
        <v>198</v>
      </c>
      <c r="F123" s="46" t="n">
        <v>1</v>
      </c>
      <c r="G123" s="46" t="n">
        <v>0.12</v>
      </c>
      <c r="H123" s="46" t="n">
        <v>0</v>
      </c>
      <c r="I123" s="46" t="n">
        <v>0.02</v>
      </c>
      <c r="J123" s="46" t="n">
        <v>0</v>
      </c>
      <c r="K123" s="46" t="n">
        <v>0</v>
      </c>
      <c r="L123" s="46" t="n">
        <v>2</v>
      </c>
      <c r="M123" s="45" t="s">
        <v>614</v>
      </c>
      <c r="N123" s="44" t="s">
        <v>145</v>
      </c>
    </row>
    <row r="124" customFormat="false" ht="15" hidden="false" customHeight="false" outlineLevel="0" collapsed="false">
      <c r="A124" s="44" t="s">
        <v>615</v>
      </c>
      <c r="B124" s="45" t="s">
        <v>611</v>
      </c>
      <c r="C124" s="45" t="s">
        <v>616</v>
      </c>
      <c r="D124" s="44" t="s">
        <v>617</v>
      </c>
      <c r="E124" s="44" t="s">
        <v>198</v>
      </c>
      <c r="F124" s="46" t="n">
        <v>1</v>
      </c>
      <c r="G124" s="46" t="n">
        <v>0</v>
      </c>
      <c r="H124" s="46" t="n">
        <v>0.3</v>
      </c>
      <c r="I124" s="46" t="n">
        <v>0</v>
      </c>
      <c r="J124" s="46" t="n">
        <v>0</v>
      </c>
      <c r="K124" s="46" t="n">
        <v>0</v>
      </c>
      <c r="L124" s="46" t="n">
        <v>3</v>
      </c>
      <c r="M124" s="45" t="s">
        <v>618</v>
      </c>
      <c r="N124" s="44" t="s">
        <v>145</v>
      </c>
    </row>
    <row r="125" customFormat="false" ht="15" hidden="false" customHeight="false" outlineLevel="0" collapsed="false">
      <c r="A125" s="44" t="s">
        <v>619</v>
      </c>
      <c r="B125" s="45" t="s">
        <v>611</v>
      </c>
      <c r="C125" s="45" t="s">
        <v>620</v>
      </c>
      <c r="D125" s="44" t="s">
        <v>621</v>
      </c>
      <c r="E125" s="44" t="s">
        <v>198</v>
      </c>
      <c r="F125" s="46" t="n">
        <v>43</v>
      </c>
      <c r="G125" s="46" t="n">
        <v>0.46</v>
      </c>
      <c r="H125" s="46" t="n">
        <v>10.2</v>
      </c>
      <c r="I125" s="46" t="n">
        <v>0</v>
      </c>
      <c r="J125" s="46" t="n">
        <v>0</v>
      </c>
      <c r="K125" s="46" t="n">
        <v>10.2</v>
      </c>
      <c r="L125" s="46" t="n">
        <v>39</v>
      </c>
      <c r="M125" s="45" t="s">
        <v>622</v>
      </c>
      <c r="N125" s="44" t="s">
        <v>145</v>
      </c>
    </row>
    <row r="126" customFormat="false" ht="15" hidden="false" customHeight="false" outlineLevel="0" collapsed="false">
      <c r="A126" s="44" t="s">
        <v>623</v>
      </c>
      <c r="B126" s="45" t="s">
        <v>611</v>
      </c>
      <c r="C126" s="45" t="s">
        <v>624</v>
      </c>
      <c r="D126" s="44" t="s">
        <v>625</v>
      </c>
      <c r="E126" s="44" t="s">
        <v>198</v>
      </c>
      <c r="F126" s="46" t="n">
        <v>8</v>
      </c>
      <c r="G126" s="46" t="n">
        <v>0.05</v>
      </c>
      <c r="H126" s="46" t="n">
        <v>1.94</v>
      </c>
      <c r="I126" s="46" t="n">
        <v>0.01</v>
      </c>
      <c r="J126" s="46" t="n">
        <v>0</v>
      </c>
      <c r="K126" s="46" t="n">
        <v>1.3</v>
      </c>
      <c r="L126" s="46" t="n">
        <v>45</v>
      </c>
      <c r="M126" s="45" t="s">
        <v>626</v>
      </c>
      <c r="N126" s="44" t="s">
        <v>145</v>
      </c>
    </row>
    <row r="127" customFormat="false" ht="15" hidden="false" customHeight="false" outlineLevel="0" collapsed="false">
      <c r="A127" s="44"/>
      <c r="B127" s="45"/>
      <c r="C127" s="45"/>
      <c r="D127" s="44"/>
      <c r="E127" s="44"/>
      <c r="F127" s="46"/>
      <c r="G127" s="46"/>
      <c r="H127" s="46"/>
      <c r="I127" s="46"/>
      <c r="J127" s="46"/>
      <c r="K127" s="46"/>
      <c r="L127" s="46"/>
      <c r="M127" s="45"/>
      <c r="N127" s="44"/>
    </row>
    <row r="128" customFormat="false" ht="15" hidden="false" customHeight="false" outlineLevel="0" collapsed="false">
      <c r="A128" s="44"/>
      <c r="B128" s="45"/>
      <c r="C128" s="45"/>
      <c r="D128" s="44"/>
      <c r="E128" s="44"/>
      <c r="F128" s="46"/>
      <c r="G128" s="46"/>
      <c r="H128" s="46"/>
      <c r="I128" s="46"/>
      <c r="J128" s="46"/>
      <c r="K128" s="46"/>
      <c r="L128" s="46"/>
      <c r="M128" s="45"/>
      <c r="N128" s="44"/>
    </row>
    <row r="129" customFormat="false" ht="15" hidden="false" customHeight="false" outlineLevel="0" collapsed="false">
      <c r="A129" s="44"/>
      <c r="B129" s="45"/>
      <c r="C129" s="45"/>
      <c r="D129" s="44"/>
      <c r="E129" s="44"/>
      <c r="F129" s="46"/>
      <c r="G129" s="46"/>
      <c r="H129" s="46"/>
      <c r="I129" s="46"/>
      <c r="J129" s="46"/>
      <c r="K129" s="46"/>
      <c r="L129" s="46"/>
      <c r="M129" s="45"/>
      <c r="N129" s="44"/>
    </row>
    <row r="130" customFormat="false" ht="15" hidden="false" customHeight="false" outlineLevel="0" collapsed="false">
      <c r="A130" s="44"/>
      <c r="B130" s="45"/>
      <c r="C130" s="45"/>
      <c r="D130" s="44"/>
      <c r="E130" s="44"/>
      <c r="F130" s="46"/>
      <c r="G130" s="46"/>
      <c r="H130" s="46"/>
      <c r="I130" s="46"/>
      <c r="J130" s="46"/>
      <c r="K130" s="46"/>
      <c r="L130" s="46"/>
      <c r="M130" s="45"/>
      <c r="N130" s="44"/>
    </row>
    <row r="131" customFormat="false" ht="15" hidden="false" customHeight="false" outlineLevel="0" collapsed="false">
      <c r="A131" s="44"/>
      <c r="B131" s="45"/>
      <c r="C131" s="45"/>
      <c r="D131" s="44"/>
      <c r="E131" s="44"/>
      <c r="F131" s="46"/>
      <c r="G131" s="46"/>
      <c r="H131" s="46"/>
      <c r="I131" s="46"/>
      <c r="J131" s="46"/>
      <c r="K131" s="46"/>
      <c r="L131" s="46"/>
      <c r="M131" s="45"/>
      <c r="N131" s="44"/>
    </row>
    <row r="132" customFormat="false" ht="15" hidden="false" customHeight="false" outlineLevel="0" collapsed="false">
      <c r="A132" s="44"/>
      <c r="B132" s="45"/>
      <c r="C132" s="45"/>
      <c r="D132" s="44"/>
      <c r="E132" s="44"/>
      <c r="F132" s="46"/>
      <c r="G132" s="46"/>
      <c r="H132" s="46"/>
      <c r="I132" s="46"/>
      <c r="J132" s="46"/>
      <c r="K132" s="46"/>
      <c r="L132" s="46"/>
      <c r="M132" s="45"/>
      <c r="N132" s="44"/>
    </row>
    <row r="133" customFormat="false" ht="15" hidden="false" customHeight="false" outlineLevel="0" collapsed="false">
      <c r="A133" s="44"/>
      <c r="B133" s="45"/>
      <c r="C133" s="45"/>
      <c r="D133" s="44"/>
      <c r="E133" s="44"/>
      <c r="F133" s="46"/>
      <c r="G133" s="46"/>
      <c r="H133" s="46"/>
      <c r="I133" s="46"/>
      <c r="J133" s="46"/>
      <c r="K133" s="46"/>
      <c r="L133" s="46"/>
      <c r="M133" s="45"/>
      <c r="N133" s="44"/>
    </row>
    <row r="134" customFormat="false" ht="15" hidden="false" customHeight="false" outlineLevel="0" collapsed="false">
      <c r="A134" s="44"/>
      <c r="B134" s="45"/>
      <c r="C134" s="45"/>
      <c r="D134" s="44"/>
      <c r="E134" s="44"/>
      <c r="F134" s="46"/>
      <c r="G134" s="46"/>
      <c r="H134" s="46"/>
      <c r="I134" s="46"/>
      <c r="J134" s="46"/>
      <c r="K134" s="46"/>
      <c r="L134" s="46"/>
      <c r="M134" s="45"/>
      <c r="N134" s="44"/>
    </row>
    <row r="135" customFormat="false" ht="15" hidden="false" customHeight="false" outlineLevel="0" collapsed="false">
      <c r="A135" s="44"/>
      <c r="B135" s="45"/>
      <c r="C135" s="45"/>
      <c r="D135" s="44"/>
      <c r="E135" s="44"/>
      <c r="F135" s="46"/>
      <c r="G135" s="46"/>
      <c r="H135" s="46"/>
      <c r="I135" s="46"/>
      <c r="J135" s="46"/>
      <c r="K135" s="46"/>
      <c r="L135" s="46"/>
      <c r="M135" s="45"/>
      <c r="N135" s="44"/>
    </row>
    <row r="136" customFormat="false" ht="15" hidden="false" customHeight="false" outlineLevel="0" collapsed="false">
      <c r="A136" s="44"/>
      <c r="B136" s="45"/>
      <c r="C136" s="45"/>
      <c r="D136" s="44"/>
      <c r="E136" s="44"/>
      <c r="F136" s="46"/>
      <c r="G136" s="46"/>
      <c r="H136" s="46"/>
      <c r="I136" s="46"/>
      <c r="J136" s="46"/>
      <c r="K136" s="46"/>
      <c r="L136" s="46"/>
      <c r="M136" s="45"/>
      <c r="N136" s="44"/>
    </row>
    <row r="137" customFormat="false" ht="15" hidden="false" customHeight="false" outlineLevel="0" collapsed="false">
      <c r="A137" s="44"/>
      <c r="B137" s="45"/>
      <c r="C137" s="45"/>
      <c r="D137" s="44"/>
      <c r="E137" s="44"/>
      <c r="F137" s="46"/>
      <c r="G137" s="46"/>
      <c r="H137" s="46"/>
      <c r="I137" s="46"/>
      <c r="J137" s="46"/>
      <c r="K137" s="46"/>
      <c r="L137" s="46"/>
      <c r="M137" s="45"/>
      <c r="N137" s="44"/>
    </row>
    <row r="138" customFormat="false" ht="15" hidden="false" customHeight="false" outlineLevel="0" collapsed="false">
      <c r="A138" s="44"/>
      <c r="B138" s="45"/>
      <c r="C138" s="45"/>
      <c r="D138" s="44"/>
      <c r="E138" s="44"/>
      <c r="F138" s="46"/>
      <c r="G138" s="46"/>
      <c r="H138" s="46"/>
      <c r="I138" s="46"/>
      <c r="J138" s="46"/>
      <c r="K138" s="46"/>
      <c r="L138" s="46"/>
      <c r="M138" s="45"/>
      <c r="N138" s="44"/>
    </row>
    <row r="139" customFormat="false" ht="15" hidden="false" customHeight="false" outlineLevel="0" collapsed="false">
      <c r="A139" s="44"/>
      <c r="B139" s="45"/>
      <c r="C139" s="45"/>
      <c r="D139" s="44"/>
      <c r="E139" s="44"/>
      <c r="F139" s="46"/>
      <c r="G139" s="46"/>
      <c r="H139" s="46"/>
      <c r="I139" s="46"/>
      <c r="J139" s="46"/>
      <c r="K139" s="46"/>
      <c r="L139" s="46"/>
      <c r="M139" s="45"/>
      <c r="N139" s="44"/>
    </row>
    <row r="140" customFormat="false" ht="15" hidden="false" customHeight="false" outlineLevel="0" collapsed="false">
      <c r="A140" s="44"/>
      <c r="B140" s="45"/>
      <c r="C140" s="45"/>
      <c r="D140" s="44"/>
      <c r="E140" s="44"/>
      <c r="F140" s="46"/>
      <c r="G140" s="46"/>
      <c r="H140" s="46"/>
      <c r="I140" s="46"/>
      <c r="J140" s="46"/>
      <c r="K140" s="46"/>
      <c r="L140" s="46"/>
      <c r="M140" s="45"/>
      <c r="N140" s="44"/>
    </row>
    <row r="141" customFormat="false" ht="15" hidden="false" customHeight="false" outlineLevel="0" collapsed="false">
      <c r="A141" s="44"/>
      <c r="B141" s="45"/>
      <c r="C141" s="45"/>
      <c r="D141" s="44"/>
      <c r="E141" s="44"/>
      <c r="F141" s="46"/>
      <c r="G141" s="46"/>
      <c r="H141" s="46"/>
      <c r="I141" s="46"/>
      <c r="J141" s="46"/>
      <c r="K141" s="46"/>
      <c r="L141" s="46"/>
      <c r="M141" s="45"/>
      <c r="N141" s="44"/>
    </row>
    <row r="142" customFormat="false" ht="15" hidden="false" customHeight="false" outlineLevel="0" collapsed="false">
      <c r="A142" s="44"/>
      <c r="B142" s="45"/>
      <c r="C142" s="45"/>
      <c r="D142" s="44"/>
      <c r="E142" s="44"/>
      <c r="F142" s="46"/>
      <c r="G142" s="46"/>
      <c r="H142" s="46"/>
      <c r="I142" s="46"/>
      <c r="J142" s="46"/>
      <c r="K142" s="46"/>
      <c r="L142" s="46"/>
      <c r="M142" s="45"/>
      <c r="N142" s="44"/>
    </row>
    <row r="143" customFormat="false" ht="15" hidden="false" customHeight="false" outlineLevel="0" collapsed="false">
      <c r="A143" s="44"/>
      <c r="B143" s="45"/>
      <c r="C143" s="45"/>
      <c r="D143" s="44"/>
      <c r="E143" s="44"/>
      <c r="F143" s="46"/>
      <c r="G143" s="46"/>
      <c r="H143" s="46"/>
      <c r="I143" s="46"/>
      <c r="J143" s="46"/>
      <c r="K143" s="46"/>
      <c r="L143" s="46"/>
      <c r="M143" s="45"/>
      <c r="N143" s="44"/>
    </row>
    <row r="144" customFormat="false" ht="15" hidden="false" customHeight="false" outlineLevel="0" collapsed="false">
      <c r="A144" s="44"/>
      <c r="B144" s="45"/>
      <c r="C144" s="45"/>
      <c r="D144" s="44"/>
      <c r="E144" s="44"/>
      <c r="F144" s="46"/>
      <c r="G144" s="46"/>
      <c r="H144" s="46"/>
      <c r="I144" s="46"/>
      <c r="J144" s="46"/>
      <c r="K144" s="46"/>
      <c r="L144" s="46"/>
      <c r="M144" s="45"/>
      <c r="N144" s="44"/>
    </row>
    <row r="145" customFormat="false" ht="15" hidden="false" customHeight="false" outlineLevel="0" collapsed="false">
      <c r="A145" s="44"/>
      <c r="B145" s="45"/>
      <c r="C145" s="45"/>
      <c r="D145" s="44"/>
      <c r="E145" s="44"/>
      <c r="F145" s="46"/>
      <c r="G145" s="46"/>
      <c r="H145" s="46"/>
      <c r="I145" s="46"/>
      <c r="J145" s="46"/>
      <c r="K145" s="46"/>
      <c r="L145" s="46"/>
      <c r="M145" s="45"/>
      <c r="N145" s="44"/>
    </row>
    <row r="146" customFormat="false" ht="15" hidden="false" customHeight="false" outlineLevel="0" collapsed="false">
      <c r="A146" s="44"/>
      <c r="B146" s="45"/>
      <c r="C146" s="45"/>
      <c r="D146" s="44"/>
      <c r="E146" s="44"/>
      <c r="F146" s="46"/>
      <c r="G146" s="46"/>
      <c r="H146" s="46"/>
      <c r="I146" s="46"/>
      <c r="J146" s="46"/>
      <c r="K146" s="46"/>
      <c r="L146" s="46"/>
      <c r="M146" s="45"/>
      <c r="N146" s="44"/>
    </row>
    <row r="147" customFormat="false" ht="15" hidden="false" customHeight="false" outlineLevel="0" collapsed="false">
      <c r="A147" s="44"/>
      <c r="B147" s="45"/>
      <c r="C147" s="45"/>
      <c r="D147" s="44"/>
      <c r="E147" s="44"/>
      <c r="F147" s="46"/>
      <c r="G147" s="46"/>
      <c r="H147" s="46"/>
      <c r="I147" s="46"/>
      <c r="J147" s="46"/>
      <c r="K147" s="46"/>
      <c r="L147" s="46"/>
      <c r="M147" s="45"/>
      <c r="N147" s="44"/>
    </row>
    <row r="148" customFormat="false" ht="15" hidden="false" customHeight="false" outlineLevel="0" collapsed="false">
      <c r="A148" s="44"/>
      <c r="B148" s="45"/>
      <c r="C148" s="45"/>
      <c r="D148" s="44"/>
      <c r="E148" s="44"/>
      <c r="F148" s="46"/>
      <c r="G148" s="46"/>
      <c r="H148" s="46"/>
      <c r="I148" s="46"/>
      <c r="J148" s="46"/>
      <c r="K148" s="46"/>
      <c r="L148" s="46"/>
      <c r="M148" s="45"/>
      <c r="N148" s="44"/>
    </row>
    <row r="149" customFormat="false" ht="15" hidden="false" customHeight="false" outlineLevel="0" collapsed="false">
      <c r="A149" s="44"/>
      <c r="B149" s="45"/>
      <c r="C149" s="45"/>
      <c r="D149" s="44"/>
      <c r="E149" s="44"/>
      <c r="F149" s="46"/>
      <c r="G149" s="46"/>
      <c r="H149" s="46"/>
      <c r="I149" s="46"/>
      <c r="J149" s="46"/>
      <c r="K149" s="46"/>
      <c r="L149" s="46"/>
      <c r="M149" s="45"/>
      <c r="N149" s="44"/>
    </row>
    <row r="150" customFormat="false" ht="15" hidden="false" customHeight="false" outlineLevel="0" collapsed="false">
      <c r="A150" s="44"/>
      <c r="B150" s="45"/>
      <c r="C150" s="45"/>
      <c r="D150" s="44"/>
      <c r="E150" s="44"/>
      <c r="F150" s="46"/>
      <c r="G150" s="46"/>
      <c r="H150" s="46"/>
      <c r="I150" s="46"/>
      <c r="J150" s="46"/>
      <c r="K150" s="46"/>
      <c r="L150" s="46"/>
      <c r="M150" s="45"/>
      <c r="N150" s="44"/>
    </row>
    <row r="151" customFormat="false" ht="15" hidden="false" customHeight="false" outlineLevel="0" collapsed="false">
      <c r="A151" s="44"/>
      <c r="B151" s="45"/>
      <c r="C151" s="45"/>
      <c r="D151" s="44"/>
      <c r="E151" s="44"/>
      <c r="F151" s="46"/>
      <c r="G151" s="46"/>
      <c r="H151" s="46"/>
      <c r="I151" s="46"/>
      <c r="J151" s="46"/>
      <c r="K151" s="46"/>
      <c r="L151" s="46"/>
      <c r="M151" s="45"/>
      <c r="N151" s="44"/>
    </row>
    <row r="152" customFormat="false" ht="15" hidden="false" customHeight="false" outlineLevel="0" collapsed="false">
      <c r="A152" s="44"/>
      <c r="B152" s="45"/>
      <c r="C152" s="45"/>
      <c r="D152" s="44"/>
      <c r="E152" s="44"/>
      <c r="F152" s="46"/>
      <c r="G152" s="46"/>
      <c r="H152" s="46"/>
      <c r="I152" s="46"/>
      <c r="J152" s="46"/>
      <c r="K152" s="46"/>
      <c r="L152" s="46"/>
      <c r="M152" s="45"/>
      <c r="N152" s="44"/>
    </row>
    <row r="153" customFormat="false" ht="15" hidden="false" customHeight="false" outlineLevel="0" collapsed="false">
      <c r="A153" s="44"/>
      <c r="B153" s="45"/>
      <c r="C153" s="45"/>
      <c r="D153" s="44"/>
      <c r="E153" s="44"/>
      <c r="F153" s="46"/>
      <c r="G153" s="46"/>
      <c r="H153" s="46"/>
      <c r="I153" s="46"/>
      <c r="J153" s="46"/>
      <c r="K153" s="46"/>
      <c r="L153" s="46"/>
      <c r="M153" s="45"/>
      <c r="N153" s="44"/>
    </row>
    <row r="154" customFormat="false" ht="15" hidden="false" customHeight="false" outlineLevel="0" collapsed="false">
      <c r="A154" s="44"/>
      <c r="B154" s="45"/>
      <c r="C154" s="45"/>
      <c r="D154" s="44"/>
      <c r="E154" s="44"/>
      <c r="F154" s="46"/>
      <c r="G154" s="46"/>
      <c r="H154" s="46"/>
      <c r="I154" s="46"/>
      <c r="J154" s="46"/>
      <c r="K154" s="46"/>
      <c r="L154" s="46"/>
      <c r="M154" s="45"/>
      <c r="N154" s="44"/>
    </row>
    <row r="155" customFormat="false" ht="15" hidden="false" customHeight="false" outlineLevel="0" collapsed="false">
      <c r="A155" s="44"/>
      <c r="B155" s="45"/>
      <c r="C155" s="45"/>
      <c r="D155" s="44"/>
      <c r="E155" s="44"/>
      <c r="F155" s="46"/>
      <c r="G155" s="46"/>
      <c r="H155" s="46"/>
      <c r="I155" s="46"/>
      <c r="J155" s="46"/>
      <c r="K155" s="46"/>
      <c r="L155" s="46"/>
      <c r="M155" s="45"/>
      <c r="N155" s="44"/>
    </row>
    <row r="156" customFormat="false" ht="15" hidden="false" customHeight="false" outlineLevel="0" collapsed="false">
      <c r="A156" s="44"/>
      <c r="B156" s="45"/>
      <c r="C156" s="45"/>
      <c r="D156" s="44"/>
      <c r="E156" s="44"/>
      <c r="F156" s="46"/>
      <c r="G156" s="46"/>
      <c r="H156" s="46"/>
      <c r="I156" s="46"/>
      <c r="J156" s="46"/>
      <c r="K156" s="46"/>
      <c r="L156" s="46"/>
      <c r="M156" s="45"/>
      <c r="N156" s="44"/>
    </row>
    <row r="157" customFormat="false" ht="15" hidden="false" customHeight="false" outlineLevel="0" collapsed="false">
      <c r="A157" s="44"/>
      <c r="B157" s="45"/>
      <c r="C157" s="45"/>
      <c r="D157" s="44"/>
      <c r="E157" s="44"/>
      <c r="F157" s="46"/>
      <c r="G157" s="46"/>
      <c r="H157" s="46"/>
      <c r="I157" s="46"/>
      <c r="J157" s="46"/>
      <c r="K157" s="46"/>
      <c r="L157" s="46"/>
      <c r="M157" s="45"/>
      <c r="N157" s="44"/>
    </row>
    <row r="158" customFormat="false" ht="15" hidden="false" customHeight="false" outlineLevel="0" collapsed="false">
      <c r="A158" s="44"/>
      <c r="B158" s="45"/>
      <c r="C158" s="45"/>
      <c r="D158" s="44"/>
      <c r="E158" s="44"/>
      <c r="F158" s="46"/>
      <c r="G158" s="46"/>
      <c r="H158" s="46"/>
      <c r="I158" s="46"/>
      <c r="J158" s="46"/>
      <c r="K158" s="46"/>
      <c r="L158" s="46"/>
      <c r="M158" s="45"/>
      <c r="N158" s="44"/>
    </row>
    <row r="159" customFormat="false" ht="15" hidden="false" customHeight="false" outlineLevel="0" collapsed="false">
      <c r="A159" s="44"/>
      <c r="B159" s="45"/>
      <c r="C159" s="45"/>
      <c r="D159" s="44"/>
      <c r="E159" s="44"/>
      <c r="F159" s="46"/>
      <c r="G159" s="46"/>
      <c r="H159" s="46"/>
      <c r="I159" s="46"/>
      <c r="J159" s="46"/>
      <c r="K159" s="46"/>
      <c r="L159" s="46"/>
      <c r="M159" s="45"/>
      <c r="N159" s="44"/>
    </row>
    <row r="160" customFormat="false" ht="15" hidden="false" customHeight="false" outlineLevel="0" collapsed="false">
      <c r="A160" s="44"/>
      <c r="B160" s="45"/>
      <c r="C160" s="45"/>
      <c r="D160" s="44"/>
      <c r="E160" s="44"/>
      <c r="F160" s="46"/>
      <c r="G160" s="46"/>
      <c r="H160" s="46"/>
      <c r="I160" s="46"/>
      <c r="J160" s="46"/>
      <c r="K160" s="46"/>
      <c r="L160" s="46"/>
      <c r="M160" s="45"/>
      <c r="N160" s="44"/>
    </row>
    <row r="161" customFormat="false" ht="15" hidden="false" customHeight="false" outlineLevel="0" collapsed="false">
      <c r="A161" s="44"/>
      <c r="B161" s="45"/>
      <c r="C161" s="45"/>
      <c r="D161" s="44"/>
      <c r="E161" s="44"/>
      <c r="F161" s="46"/>
      <c r="G161" s="46"/>
      <c r="H161" s="46"/>
      <c r="I161" s="46"/>
      <c r="J161" s="46"/>
      <c r="K161" s="46"/>
      <c r="L161" s="46"/>
      <c r="M161" s="45"/>
      <c r="N161" s="44"/>
    </row>
    <row r="162" customFormat="false" ht="15" hidden="false" customHeight="false" outlineLevel="0" collapsed="false">
      <c r="A162" s="44"/>
      <c r="B162" s="45"/>
      <c r="C162" s="45"/>
      <c r="D162" s="44"/>
      <c r="E162" s="44"/>
      <c r="F162" s="46"/>
      <c r="G162" s="46"/>
      <c r="H162" s="46"/>
      <c r="I162" s="46"/>
      <c r="J162" s="46"/>
      <c r="K162" s="46"/>
      <c r="L162" s="46"/>
      <c r="M162" s="45"/>
      <c r="N162" s="44"/>
    </row>
    <row r="163" customFormat="false" ht="15" hidden="false" customHeight="false" outlineLevel="0" collapsed="false">
      <c r="A163" s="44"/>
      <c r="B163" s="45"/>
      <c r="C163" s="45"/>
      <c r="D163" s="44"/>
      <c r="E163" s="44"/>
      <c r="F163" s="46"/>
      <c r="G163" s="46"/>
      <c r="H163" s="46"/>
      <c r="I163" s="46"/>
      <c r="J163" s="46"/>
      <c r="K163" s="46"/>
      <c r="L163" s="46"/>
      <c r="M163" s="45"/>
      <c r="N163" s="44"/>
    </row>
    <row r="164" customFormat="false" ht="15" hidden="false" customHeight="false" outlineLevel="0" collapsed="false">
      <c r="A164" s="44"/>
      <c r="B164" s="45"/>
      <c r="C164" s="45"/>
      <c r="D164" s="44"/>
      <c r="E164" s="44"/>
      <c r="F164" s="46"/>
      <c r="G164" s="46"/>
      <c r="H164" s="46"/>
      <c r="I164" s="46"/>
      <c r="J164" s="46"/>
      <c r="K164" s="46"/>
      <c r="L164" s="46"/>
      <c r="M164" s="45"/>
      <c r="N164" s="44"/>
    </row>
    <row r="165" customFormat="false" ht="15" hidden="false" customHeight="false" outlineLevel="0" collapsed="false">
      <c r="A165" s="44"/>
      <c r="B165" s="45"/>
      <c r="C165" s="45"/>
      <c r="D165" s="44"/>
      <c r="E165" s="44"/>
      <c r="F165" s="46"/>
      <c r="G165" s="46"/>
      <c r="H165" s="46"/>
      <c r="I165" s="46"/>
      <c r="J165" s="46"/>
      <c r="K165" s="46"/>
      <c r="L165" s="46"/>
      <c r="M165" s="45"/>
      <c r="N165" s="44"/>
    </row>
    <row r="166" customFormat="false" ht="15" hidden="false" customHeight="false" outlineLevel="0" collapsed="false">
      <c r="A166" s="44"/>
      <c r="B166" s="45"/>
      <c r="C166" s="45"/>
      <c r="D166" s="44"/>
      <c r="E166" s="44"/>
      <c r="F166" s="46"/>
      <c r="G166" s="46"/>
      <c r="H166" s="46"/>
      <c r="I166" s="46"/>
      <c r="J166" s="46"/>
      <c r="K166" s="46"/>
      <c r="L166" s="46"/>
      <c r="M166" s="45"/>
      <c r="N166" s="44"/>
    </row>
    <row r="167" customFormat="false" ht="15" hidden="false" customHeight="false" outlineLevel="0" collapsed="false">
      <c r="A167" s="44"/>
      <c r="B167" s="45"/>
      <c r="C167" s="45"/>
      <c r="D167" s="44"/>
      <c r="E167" s="44"/>
      <c r="F167" s="46"/>
      <c r="G167" s="46"/>
      <c r="H167" s="46"/>
      <c r="I167" s="46"/>
      <c r="J167" s="46"/>
      <c r="K167" s="46"/>
      <c r="L167" s="46"/>
      <c r="M167" s="45"/>
      <c r="N167" s="44"/>
    </row>
    <row r="168" customFormat="false" ht="15" hidden="false" customHeight="false" outlineLevel="0" collapsed="false">
      <c r="A168" s="44"/>
      <c r="B168" s="45"/>
      <c r="C168" s="45"/>
      <c r="D168" s="44"/>
      <c r="E168" s="44"/>
      <c r="F168" s="46"/>
      <c r="G168" s="46"/>
      <c r="H168" s="46"/>
      <c r="I168" s="46"/>
      <c r="J168" s="46"/>
      <c r="K168" s="46"/>
      <c r="L168" s="46"/>
      <c r="M168" s="45"/>
      <c r="N168" s="44"/>
    </row>
    <row r="169" customFormat="false" ht="15" hidden="false" customHeight="false" outlineLevel="0" collapsed="false">
      <c r="A169" s="44"/>
      <c r="B169" s="45"/>
      <c r="C169" s="45"/>
      <c r="D169" s="44"/>
      <c r="E169" s="44"/>
      <c r="F169" s="46"/>
      <c r="G169" s="46"/>
      <c r="H169" s="46"/>
      <c r="I169" s="46"/>
      <c r="J169" s="46"/>
      <c r="K169" s="46"/>
      <c r="L169" s="46"/>
      <c r="M169" s="45"/>
      <c r="N169" s="44"/>
    </row>
    <row r="170" customFormat="false" ht="15" hidden="false" customHeight="false" outlineLevel="0" collapsed="false">
      <c r="A170" s="44"/>
      <c r="B170" s="45"/>
      <c r="C170" s="45"/>
      <c r="D170" s="44"/>
      <c r="E170" s="44"/>
      <c r="F170" s="46"/>
      <c r="G170" s="46"/>
      <c r="H170" s="46"/>
      <c r="I170" s="46"/>
      <c r="J170" s="46"/>
      <c r="K170" s="46"/>
      <c r="L170" s="46"/>
      <c r="M170" s="45"/>
      <c r="N170" s="44"/>
    </row>
    <row r="171" customFormat="false" ht="15" hidden="false" customHeight="false" outlineLevel="0" collapsed="false">
      <c r="A171" s="44"/>
      <c r="B171" s="45"/>
      <c r="C171" s="45"/>
      <c r="D171" s="44"/>
      <c r="E171" s="44"/>
      <c r="F171" s="46"/>
      <c r="G171" s="46"/>
      <c r="H171" s="46"/>
      <c r="I171" s="46"/>
      <c r="J171" s="46"/>
      <c r="K171" s="46"/>
      <c r="L171" s="46"/>
      <c r="M171" s="45"/>
      <c r="N171" s="44"/>
    </row>
    <row r="172" customFormat="false" ht="15" hidden="false" customHeight="false" outlineLevel="0" collapsed="false">
      <c r="A172" s="44"/>
      <c r="B172" s="45"/>
      <c r="C172" s="45"/>
      <c r="D172" s="44"/>
      <c r="E172" s="44"/>
      <c r="F172" s="46"/>
      <c r="G172" s="46"/>
      <c r="H172" s="46"/>
      <c r="I172" s="46"/>
      <c r="J172" s="46"/>
      <c r="K172" s="46"/>
      <c r="L172" s="46"/>
      <c r="M172" s="45"/>
      <c r="N172" s="44"/>
    </row>
    <row r="173" customFormat="false" ht="15" hidden="false" customHeight="false" outlineLevel="0" collapsed="false">
      <c r="A173" s="44"/>
      <c r="B173" s="45"/>
      <c r="C173" s="45"/>
      <c r="D173" s="44"/>
      <c r="E173" s="44"/>
      <c r="F173" s="46"/>
      <c r="G173" s="46"/>
      <c r="H173" s="46"/>
      <c r="I173" s="46"/>
      <c r="J173" s="46"/>
      <c r="K173" s="46"/>
      <c r="L173" s="46"/>
      <c r="M173" s="45"/>
      <c r="N173" s="44"/>
    </row>
    <row r="174" customFormat="false" ht="15" hidden="false" customHeight="false" outlineLevel="0" collapsed="false">
      <c r="A174" s="44"/>
      <c r="B174" s="45"/>
      <c r="C174" s="45"/>
      <c r="D174" s="44"/>
      <c r="E174" s="44"/>
      <c r="F174" s="46"/>
      <c r="G174" s="46"/>
      <c r="H174" s="46"/>
      <c r="I174" s="46"/>
      <c r="J174" s="46"/>
      <c r="K174" s="46"/>
      <c r="L174" s="46"/>
      <c r="M174" s="45"/>
      <c r="N174" s="44"/>
    </row>
    <row r="175" customFormat="false" ht="15" hidden="false" customHeight="false" outlineLevel="0" collapsed="false">
      <c r="A175" s="44"/>
      <c r="B175" s="45"/>
      <c r="C175" s="45"/>
      <c r="D175" s="44"/>
      <c r="E175" s="44"/>
      <c r="F175" s="46"/>
      <c r="G175" s="46"/>
      <c r="H175" s="46"/>
      <c r="I175" s="46"/>
      <c r="J175" s="46"/>
      <c r="K175" s="46"/>
      <c r="L175" s="46"/>
      <c r="M175" s="45"/>
      <c r="N175" s="44"/>
    </row>
    <row r="176" customFormat="false" ht="15" hidden="false" customHeight="false" outlineLevel="0" collapsed="false">
      <c r="A176" s="44"/>
      <c r="B176" s="45"/>
      <c r="C176" s="45"/>
      <c r="D176" s="44"/>
      <c r="E176" s="44"/>
      <c r="F176" s="46"/>
      <c r="G176" s="46"/>
      <c r="H176" s="46"/>
      <c r="I176" s="46"/>
      <c r="J176" s="46"/>
      <c r="K176" s="46"/>
      <c r="L176" s="46"/>
      <c r="M176" s="45"/>
      <c r="N176" s="44"/>
    </row>
    <row r="177" customFormat="false" ht="15" hidden="false" customHeight="false" outlineLevel="0" collapsed="false">
      <c r="A177" s="44"/>
      <c r="B177" s="45"/>
      <c r="C177" s="45"/>
      <c r="D177" s="44"/>
      <c r="E177" s="44"/>
      <c r="F177" s="46"/>
      <c r="G177" s="46"/>
      <c r="H177" s="46"/>
      <c r="I177" s="46"/>
      <c r="J177" s="46"/>
      <c r="K177" s="46"/>
      <c r="L177" s="46"/>
      <c r="M177" s="45"/>
      <c r="N177" s="44"/>
    </row>
    <row r="178" customFormat="false" ht="15" hidden="false" customHeight="false" outlineLevel="0" collapsed="false">
      <c r="A178" s="44"/>
      <c r="B178" s="45"/>
      <c r="C178" s="45"/>
      <c r="D178" s="44"/>
      <c r="E178" s="44"/>
      <c r="F178" s="46"/>
      <c r="G178" s="46"/>
      <c r="H178" s="46"/>
      <c r="I178" s="46"/>
      <c r="J178" s="46"/>
      <c r="K178" s="46"/>
      <c r="L178" s="46"/>
      <c r="M178" s="45"/>
      <c r="N178" s="44"/>
    </row>
    <row r="179" customFormat="false" ht="15" hidden="false" customHeight="false" outlineLevel="0" collapsed="false">
      <c r="A179" s="44"/>
      <c r="B179" s="45"/>
      <c r="C179" s="45"/>
      <c r="D179" s="44"/>
      <c r="E179" s="44"/>
      <c r="F179" s="46"/>
      <c r="G179" s="46"/>
      <c r="H179" s="46"/>
      <c r="I179" s="46"/>
      <c r="J179" s="46"/>
      <c r="K179" s="46"/>
      <c r="L179" s="46"/>
      <c r="M179" s="45"/>
      <c r="N179" s="44"/>
    </row>
    <row r="180" customFormat="false" ht="15" hidden="false" customHeight="false" outlineLevel="0" collapsed="false">
      <c r="A180" s="44"/>
      <c r="B180" s="45"/>
      <c r="C180" s="45"/>
      <c r="D180" s="44"/>
      <c r="E180" s="44"/>
      <c r="F180" s="46"/>
      <c r="G180" s="46"/>
      <c r="H180" s="46"/>
      <c r="I180" s="46"/>
      <c r="J180" s="46"/>
      <c r="K180" s="46"/>
      <c r="L180" s="46"/>
      <c r="M180" s="45"/>
      <c r="N180" s="44"/>
    </row>
    <row r="181" customFormat="false" ht="15" hidden="false" customHeight="false" outlineLevel="0" collapsed="false">
      <c r="A181" s="44"/>
      <c r="B181" s="45"/>
      <c r="C181" s="45"/>
      <c r="D181" s="44"/>
      <c r="E181" s="44"/>
      <c r="F181" s="46"/>
      <c r="G181" s="46"/>
      <c r="H181" s="46"/>
      <c r="I181" s="46"/>
      <c r="J181" s="46"/>
      <c r="K181" s="46"/>
      <c r="L181" s="46"/>
      <c r="M181" s="45"/>
      <c r="N181" s="44"/>
    </row>
    <row r="182" customFormat="false" ht="15" hidden="false" customHeight="false" outlineLevel="0" collapsed="false">
      <c r="A182" s="44"/>
      <c r="B182" s="45"/>
      <c r="C182" s="45"/>
      <c r="D182" s="44"/>
      <c r="E182" s="44"/>
      <c r="F182" s="46"/>
      <c r="G182" s="46"/>
      <c r="H182" s="46"/>
      <c r="I182" s="46"/>
      <c r="J182" s="46"/>
      <c r="K182" s="46"/>
      <c r="L182" s="46"/>
      <c r="M182" s="45"/>
      <c r="N182" s="44"/>
    </row>
    <row r="183" customFormat="false" ht="15" hidden="false" customHeight="false" outlineLevel="0" collapsed="false">
      <c r="A183" s="44"/>
      <c r="B183" s="45"/>
      <c r="C183" s="45"/>
      <c r="D183" s="44"/>
      <c r="E183" s="44"/>
      <c r="F183" s="46"/>
      <c r="G183" s="46"/>
      <c r="H183" s="46"/>
      <c r="I183" s="46"/>
      <c r="J183" s="46"/>
      <c r="K183" s="46"/>
      <c r="L183" s="46"/>
      <c r="M183" s="45"/>
      <c r="N183" s="44"/>
    </row>
    <row r="184" customFormat="false" ht="15" hidden="false" customHeight="false" outlineLevel="0" collapsed="false">
      <c r="A184" s="44"/>
      <c r="B184" s="45"/>
      <c r="C184" s="45"/>
      <c r="D184" s="44"/>
      <c r="E184" s="44"/>
      <c r="F184" s="46"/>
      <c r="G184" s="46"/>
      <c r="H184" s="46"/>
      <c r="I184" s="46"/>
      <c r="J184" s="46"/>
      <c r="K184" s="46"/>
      <c r="L184" s="46"/>
      <c r="M184" s="45"/>
      <c r="N184" s="44"/>
    </row>
    <row r="185" customFormat="false" ht="15" hidden="false" customHeight="false" outlineLevel="0" collapsed="false">
      <c r="A185" s="44"/>
      <c r="B185" s="45"/>
      <c r="C185" s="45"/>
      <c r="D185" s="44"/>
      <c r="E185" s="44"/>
      <c r="F185" s="46"/>
      <c r="G185" s="46"/>
      <c r="H185" s="46"/>
      <c r="I185" s="46"/>
      <c r="J185" s="46"/>
      <c r="K185" s="46"/>
      <c r="L185" s="46"/>
      <c r="M185" s="45"/>
      <c r="N185" s="44"/>
    </row>
    <row r="186" customFormat="false" ht="15" hidden="false" customHeight="false" outlineLevel="0" collapsed="false">
      <c r="A186" s="44"/>
      <c r="B186" s="45"/>
      <c r="C186" s="45"/>
      <c r="D186" s="44"/>
      <c r="E186" s="44"/>
      <c r="F186" s="46"/>
      <c r="G186" s="46"/>
      <c r="H186" s="46"/>
      <c r="I186" s="46"/>
      <c r="J186" s="46"/>
      <c r="K186" s="46"/>
      <c r="L186" s="46"/>
      <c r="M186" s="45"/>
      <c r="N186" s="44"/>
    </row>
    <row r="187" customFormat="false" ht="15" hidden="false" customHeight="false" outlineLevel="0" collapsed="false">
      <c r="A187" s="44"/>
      <c r="B187" s="45"/>
      <c r="C187" s="45"/>
      <c r="D187" s="44"/>
      <c r="E187" s="44"/>
      <c r="F187" s="46"/>
      <c r="G187" s="46"/>
      <c r="H187" s="46"/>
      <c r="I187" s="46"/>
      <c r="J187" s="46"/>
      <c r="K187" s="46"/>
      <c r="L187" s="46"/>
      <c r="M187" s="45"/>
      <c r="N187" s="44"/>
    </row>
    <row r="188" customFormat="false" ht="15" hidden="false" customHeight="false" outlineLevel="0" collapsed="false">
      <c r="A188" s="44"/>
      <c r="B188" s="45"/>
      <c r="C188" s="45"/>
      <c r="D188" s="44"/>
      <c r="E188" s="44"/>
      <c r="F188" s="46"/>
      <c r="G188" s="46"/>
      <c r="H188" s="46"/>
      <c r="I188" s="46"/>
      <c r="J188" s="46"/>
      <c r="K188" s="46"/>
      <c r="L188" s="46"/>
      <c r="M188" s="45"/>
      <c r="N188" s="44"/>
    </row>
    <row r="189" customFormat="false" ht="15" hidden="false" customHeight="false" outlineLevel="0" collapsed="false">
      <c r="A189" s="44"/>
      <c r="B189" s="45"/>
      <c r="C189" s="45"/>
      <c r="D189" s="44"/>
      <c r="E189" s="44"/>
      <c r="F189" s="46"/>
      <c r="G189" s="46"/>
      <c r="H189" s="46"/>
      <c r="I189" s="46"/>
      <c r="J189" s="46"/>
      <c r="K189" s="46"/>
      <c r="L189" s="46"/>
      <c r="M189" s="45"/>
      <c r="N189" s="44"/>
    </row>
    <row r="190" customFormat="false" ht="15" hidden="false" customHeight="false" outlineLevel="0" collapsed="false">
      <c r="A190" s="44"/>
      <c r="B190" s="45"/>
      <c r="C190" s="45"/>
      <c r="D190" s="44"/>
      <c r="E190" s="44"/>
      <c r="F190" s="46"/>
      <c r="G190" s="46"/>
      <c r="H190" s="46"/>
      <c r="I190" s="46"/>
      <c r="J190" s="46"/>
      <c r="K190" s="46"/>
      <c r="L190" s="46"/>
      <c r="M190" s="45"/>
      <c r="N190" s="44"/>
    </row>
    <row r="191" customFormat="false" ht="15" hidden="false" customHeight="false" outlineLevel="0" collapsed="false">
      <c r="A191" s="44"/>
      <c r="B191" s="45"/>
      <c r="C191" s="45"/>
      <c r="D191" s="44"/>
      <c r="E191" s="44"/>
      <c r="F191" s="46"/>
      <c r="G191" s="46"/>
      <c r="H191" s="46"/>
      <c r="I191" s="46"/>
      <c r="J191" s="46"/>
      <c r="K191" s="46"/>
      <c r="L191" s="46"/>
      <c r="M191" s="45"/>
      <c r="N191" s="44"/>
    </row>
    <row r="192" customFormat="false" ht="15" hidden="false" customHeight="false" outlineLevel="0" collapsed="false">
      <c r="A192" s="44"/>
      <c r="B192" s="45"/>
      <c r="C192" s="45"/>
      <c r="D192" s="44"/>
      <c r="E192" s="44"/>
      <c r="F192" s="46"/>
      <c r="G192" s="46"/>
      <c r="H192" s="46"/>
      <c r="I192" s="46"/>
      <c r="J192" s="46"/>
      <c r="K192" s="46"/>
      <c r="L192" s="46"/>
      <c r="M192" s="45"/>
      <c r="N192" s="44"/>
    </row>
    <row r="193" customFormat="false" ht="15" hidden="false" customHeight="false" outlineLevel="0" collapsed="false">
      <c r="A193" s="44"/>
      <c r="B193" s="45"/>
      <c r="C193" s="45"/>
      <c r="D193" s="44"/>
      <c r="E193" s="44"/>
      <c r="F193" s="46"/>
      <c r="G193" s="46"/>
      <c r="H193" s="46"/>
      <c r="I193" s="46"/>
      <c r="J193" s="46"/>
      <c r="K193" s="46"/>
      <c r="L193" s="46"/>
      <c r="M193" s="45"/>
      <c r="N193" s="44"/>
    </row>
    <row r="194" customFormat="false" ht="15" hidden="false" customHeight="false" outlineLevel="0" collapsed="false">
      <c r="A194" s="44"/>
      <c r="B194" s="45"/>
      <c r="C194" s="45"/>
      <c r="D194" s="44"/>
      <c r="E194" s="44"/>
      <c r="F194" s="46"/>
      <c r="G194" s="46"/>
      <c r="H194" s="46"/>
      <c r="I194" s="46"/>
      <c r="J194" s="46"/>
      <c r="K194" s="46"/>
      <c r="L194" s="46"/>
      <c r="M194" s="45"/>
      <c r="N194" s="44"/>
    </row>
    <row r="195" customFormat="false" ht="15" hidden="false" customHeight="false" outlineLevel="0" collapsed="false">
      <c r="A195" s="44"/>
      <c r="B195" s="45"/>
      <c r="C195" s="45"/>
      <c r="D195" s="44"/>
      <c r="E195" s="44"/>
      <c r="F195" s="46"/>
      <c r="G195" s="46"/>
      <c r="H195" s="46"/>
      <c r="I195" s="46"/>
      <c r="J195" s="46"/>
      <c r="K195" s="46"/>
      <c r="L195" s="46"/>
      <c r="M195" s="45"/>
      <c r="N195" s="44"/>
    </row>
    <row r="196" customFormat="false" ht="15" hidden="false" customHeight="false" outlineLevel="0" collapsed="false">
      <c r="A196" s="44"/>
      <c r="B196" s="45"/>
      <c r="C196" s="45"/>
      <c r="D196" s="44"/>
      <c r="E196" s="44"/>
      <c r="F196" s="46"/>
      <c r="G196" s="46"/>
      <c r="H196" s="46"/>
      <c r="I196" s="46"/>
      <c r="J196" s="46"/>
      <c r="K196" s="46"/>
      <c r="L196" s="46"/>
      <c r="M196" s="45"/>
      <c r="N196" s="44"/>
    </row>
    <row r="197" customFormat="false" ht="15" hidden="false" customHeight="false" outlineLevel="0" collapsed="false">
      <c r="A197" s="44"/>
      <c r="B197" s="45"/>
      <c r="C197" s="45"/>
      <c r="D197" s="44"/>
      <c r="E197" s="44"/>
      <c r="F197" s="46"/>
      <c r="G197" s="46"/>
      <c r="H197" s="46"/>
      <c r="I197" s="46"/>
      <c r="J197" s="46"/>
      <c r="K197" s="46"/>
      <c r="L197" s="46"/>
      <c r="M197" s="45"/>
      <c r="N197" s="44"/>
    </row>
    <row r="198" customFormat="false" ht="15" hidden="false" customHeight="false" outlineLevel="0" collapsed="false">
      <c r="A198" s="44"/>
      <c r="B198" s="45"/>
      <c r="C198" s="45"/>
      <c r="D198" s="44"/>
      <c r="E198" s="44"/>
      <c r="F198" s="46"/>
      <c r="G198" s="46"/>
      <c r="H198" s="46"/>
      <c r="I198" s="46"/>
      <c r="J198" s="46"/>
      <c r="K198" s="46"/>
      <c r="L198" s="46"/>
      <c r="M198" s="45"/>
      <c r="N198" s="44"/>
    </row>
    <row r="199" customFormat="false" ht="15" hidden="false" customHeight="false" outlineLevel="0" collapsed="false">
      <c r="A199" s="44"/>
      <c r="B199" s="45"/>
      <c r="C199" s="45"/>
      <c r="D199" s="44"/>
      <c r="E199" s="44"/>
      <c r="F199" s="46"/>
      <c r="G199" s="46"/>
      <c r="H199" s="46"/>
      <c r="I199" s="46"/>
      <c r="J199" s="46"/>
      <c r="K199" s="46"/>
      <c r="L199" s="46"/>
      <c r="M199" s="45"/>
      <c r="N199" s="44"/>
    </row>
    <row r="200" customFormat="false" ht="15" hidden="false" customHeight="false" outlineLevel="0" collapsed="false">
      <c r="A200" s="44"/>
      <c r="B200" s="45"/>
      <c r="C200" s="45"/>
      <c r="D200" s="44"/>
      <c r="E200" s="44"/>
      <c r="F200" s="46"/>
      <c r="G200" s="46"/>
      <c r="H200" s="46"/>
      <c r="I200" s="46"/>
      <c r="J200" s="46"/>
      <c r="K200" s="46"/>
      <c r="L200" s="46"/>
      <c r="M200" s="45"/>
      <c r="N200" s="44"/>
    </row>
    <row r="201" customFormat="false" ht="15" hidden="false" customHeight="false" outlineLevel="0" collapsed="false">
      <c r="A201" s="44"/>
      <c r="B201" s="45"/>
      <c r="C201" s="45"/>
      <c r="D201" s="44"/>
      <c r="E201" s="44"/>
      <c r="F201" s="46"/>
      <c r="G201" s="46"/>
      <c r="H201" s="46"/>
      <c r="I201" s="46"/>
      <c r="J201" s="46"/>
      <c r="K201" s="46"/>
      <c r="L201" s="46"/>
      <c r="M201" s="45"/>
      <c r="N201" s="44"/>
    </row>
    <row r="202" customFormat="false" ht="15" hidden="false" customHeight="false" outlineLevel="0" collapsed="false">
      <c r="A202" s="44"/>
      <c r="B202" s="45"/>
      <c r="C202" s="45"/>
      <c r="D202" s="44"/>
      <c r="E202" s="44"/>
      <c r="F202" s="46"/>
      <c r="G202" s="46"/>
      <c r="H202" s="46"/>
      <c r="I202" s="46"/>
      <c r="J202" s="46"/>
      <c r="K202" s="46"/>
      <c r="L202" s="46"/>
      <c r="M202" s="45"/>
      <c r="N202" s="44"/>
    </row>
    <row r="203" customFormat="false" ht="15" hidden="false" customHeight="false" outlineLevel="0" collapsed="false">
      <c r="A203" s="44"/>
      <c r="B203" s="45"/>
      <c r="C203" s="45"/>
      <c r="D203" s="44"/>
      <c r="E203" s="44"/>
      <c r="F203" s="46"/>
      <c r="G203" s="46"/>
      <c r="H203" s="46"/>
      <c r="I203" s="46"/>
      <c r="J203" s="46"/>
      <c r="K203" s="46"/>
      <c r="L203" s="46"/>
      <c r="M203" s="45"/>
      <c r="N203" s="44"/>
    </row>
    <row r="204" customFormat="false" ht="15" hidden="false" customHeight="false" outlineLevel="0" collapsed="false">
      <c r="A204" s="44"/>
      <c r="B204" s="45"/>
      <c r="C204" s="45"/>
      <c r="D204" s="44"/>
      <c r="E204" s="44"/>
      <c r="F204" s="46"/>
      <c r="G204" s="46"/>
      <c r="H204" s="46"/>
      <c r="I204" s="46"/>
      <c r="J204" s="46"/>
      <c r="K204" s="46"/>
      <c r="L204" s="46"/>
      <c r="M204" s="45"/>
      <c r="N204" s="44"/>
    </row>
    <row r="205" customFormat="false" ht="15" hidden="false" customHeight="false" outlineLevel="0" collapsed="false">
      <c r="A205" s="44"/>
      <c r="B205" s="45"/>
      <c r="C205" s="45"/>
      <c r="D205" s="44"/>
      <c r="E205" s="44"/>
      <c r="F205" s="46"/>
      <c r="G205" s="46"/>
      <c r="H205" s="46"/>
      <c r="I205" s="46"/>
      <c r="J205" s="46"/>
      <c r="K205" s="46"/>
      <c r="L205" s="46"/>
      <c r="M205" s="45"/>
      <c r="N205" s="44"/>
    </row>
    <row r="206" customFormat="false" ht="15" hidden="false" customHeight="false" outlineLevel="0" collapsed="false">
      <c r="A206" s="44"/>
      <c r="B206" s="45"/>
      <c r="C206" s="45"/>
      <c r="D206" s="44"/>
      <c r="E206" s="44"/>
      <c r="F206" s="46"/>
      <c r="G206" s="46"/>
      <c r="H206" s="46"/>
      <c r="I206" s="46"/>
      <c r="J206" s="46"/>
      <c r="K206" s="46"/>
      <c r="L206" s="46"/>
      <c r="M206" s="45"/>
      <c r="N206" s="44"/>
    </row>
    <row r="207" customFormat="false" ht="15" hidden="false" customHeight="false" outlineLevel="0" collapsed="false">
      <c r="A207" s="44"/>
      <c r="B207" s="45"/>
      <c r="C207" s="45"/>
      <c r="D207" s="44"/>
      <c r="E207" s="44"/>
      <c r="F207" s="46"/>
      <c r="G207" s="46"/>
      <c r="H207" s="46"/>
      <c r="I207" s="46"/>
      <c r="J207" s="46"/>
      <c r="K207" s="46"/>
      <c r="L207" s="46"/>
      <c r="M207" s="45"/>
      <c r="N207" s="44"/>
    </row>
    <row r="208" customFormat="false" ht="15" hidden="false" customHeight="false" outlineLevel="0" collapsed="false">
      <c r="A208" s="44"/>
      <c r="B208" s="45"/>
      <c r="C208" s="45"/>
      <c r="D208" s="44"/>
      <c r="E208" s="44"/>
      <c r="F208" s="46"/>
      <c r="G208" s="46"/>
      <c r="H208" s="46"/>
      <c r="I208" s="46"/>
      <c r="J208" s="46"/>
      <c r="K208" s="46"/>
      <c r="L208" s="46"/>
      <c r="M208" s="45"/>
      <c r="N208" s="44"/>
    </row>
    <row r="209" customFormat="false" ht="15" hidden="false" customHeight="false" outlineLevel="0" collapsed="false">
      <c r="A209" s="44"/>
      <c r="B209" s="45"/>
      <c r="C209" s="45"/>
      <c r="D209" s="44"/>
      <c r="E209" s="44"/>
      <c r="F209" s="46"/>
      <c r="G209" s="46"/>
      <c r="H209" s="46"/>
      <c r="I209" s="46"/>
      <c r="J209" s="46"/>
      <c r="K209" s="46"/>
      <c r="L209" s="46"/>
      <c r="M209" s="45"/>
      <c r="N209" s="44"/>
    </row>
    <row r="210" customFormat="false" ht="15" hidden="false" customHeight="false" outlineLevel="0" collapsed="false">
      <c r="A210" s="44"/>
      <c r="B210" s="45"/>
      <c r="C210" s="45"/>
      <c r="D210" s="44"/>
      <c r="E210" s="44"/>
      <c r="F210" s="46"/>
      <c r="G210" s="46"/>
      <c r="H210" s="46"/>
      <c r="I210" s="46"/>
      <c r="J210" s="46"/>
      <c r="K210" s="46"/>
      <c r="L210" s="46"/>
      <c r="M210" s="45"/>
      <c r="N210" s="44"/>
    </row>
    <row r="211" customFormat="false" ht="15" hidden="false" customHeight="false" outlineLevel="0" collapsed="false">
      <c r="A211" s="44"/>
      <c r="B211" s="45"/>
      <c r="C211" s="45"/>
      <c r="D211" s="44"/>
      <c r="E211" s="44"/>
      <c r="F211" s="46"/>
      <c r="G211" s="46"/>
      <c r="H211" s="46"/>
      <c r="I211" s="46"/>
      <c r="J211" s="46"/>
      <c r="K211" s="46"/>
      <c r="L211" s="46"/>
      <c r="M211" s="45"/>
      <c r="N211" s="44"/>
    </row>
    <row r="212" customFormat="false" ht="15" hidden="false" customHeight="false" outlineLevel="0" collapsed="false">
      <c r="A212" s="44"/>
      <c r="B212" s="45"/>
      <c r="C212" s="45"/>
      <c r="D212" s="44"/>
      <c r="E212" s="44"/>
      <c r="F212" s="46"/>
      <c r="G212" s="46"/>
      <c r="H212" s="46"/>
      <c r="I212" s="46"/>
      <c r="J212" s="46"/>
      <c r="K212" s="46"/>
      <c r="L212" s="46"/>
      <c r="M212" s="45"/>
      <c r="N212" s="44"/>
    </row>
    <row r="213" customFormat="false" ht="15" hidden="false" customHeight="false" outlineLevel="0" collapsed="false">
      <c r="A213" s="44"/>
      <c r="B213" s="45"/>
      <c r="C213" s="45"/>
      <c r="D213" s="44"/>
      <c r="E213" s="44"/>
      <c r="F213" s="46"/>
      <c r="G213" s="46"/>
      <c r="H213" s="46"/>
      <c r="I213" s="46"/>
      <c r="J213" s="46"/>
      <c r="K213" s="46"/>
      <c r="L213" s="46"/>
      <c r="M213" s="45"/>
      <c r="N213" s="44"/>
    </row>
    <row r="214" customFormat="false" ht="15" hidden="false" customHeight="false" outlineLevel="0" collapsed="false">
      <c r="A214" s="44"/>
      <c r="B214" s="45"/>
      <c r="C214" s="45"/>
      <c r="D214" s="44"/>
      <c r="E214" s="44"/>
      <c r="F214" s="46"/>
      <c r="G214" s="46"/>
      <c r="H214" s="46"/>
      <c r="I214" s="46"/>
      <c r="J214" s="46"/>
      <c r="K214" s="46"/>
      <c r="L214" s="46"/>
      <c r="M214" s="45"/>
      <c r="N214" s="44"/>
    </row>
    <row r="215" customFormat="false" ht="15" hidden="false" customHeight="false" outlineLevel="0" collapsed="false">
      <c r="A215" s="44"/>
      <c r="B215" s="45"/>
      <c r="C215" s="45"/>
      <c r="D215" s="44"/>
      <c r="E215" s="44"/>
      <c r="F215" s="46"/>
      <c r="G215" s="46"/>
      <c r="H215" s="46"/>
      <c r="I215" s="46"/>
      <c r="J215" s="46"/>
      <c r="K215" s="46"/>
      <c r="L215" s="46"/>
      <c r="M215" s="45"/>
      <c r="N215" s="44"/>
    </row>
    <row r="216" customFormat="false" ht="15" hidden="false" customHeight="false" outlineLevel="0" collapsed="false">
      <c r="A216" s="44"/>
      <c r="B216" s="45"/>
      <c r="C216" s="45"/>
      <c r="D216" s="44"/>
      <c r="E216" s="44"/>
      <c r="F216" s="46"/>
      <c r="G216" s="46"/>
      <c r="H216" s="46"/>
      <c r="I216" s="46"/>
      <c r="J216" s="46"/>
      <c r="K216" s="46"/>
      <c r="L216" s="46"/>
      <c r="M216" s="45"/>
      <c r="N216" s="44"/>
    </row>
    <row r="217" customFormat="false" ht="15" hidden="false" customHeight="false" outlineLevel="0" collapsed="false">
      <c r="A217" s="44"/>
      <c r="B217" s="45"/>
      <c r="C217" s="45"/>
      <c r="D217" s="44"/>
      <c r="E217" s="44"/>
      <c r="F217" s="46"/>
      <c r="G217" s="46"/>
      <c r="H217" s="46"/>
      <c r="I217" s="46"/>
      <c r="J217" s="46"/>
      <c r="K217" s="46"/>
      <c r="L217" s="46"/>
      <c r="M217" s="45"/>
      <c r="N217" s="44"/>
    </row>
    <row r="218" customFormat="false" ht="15" hidden="false" customHeight="false" outlineLevel="0" collapsed="false">
      <c r="A218" s="44"/>
      <c r="B218" s="45"/>
      <c r="C218" s="45"/>
      <c r="D218" s="44"/>
      <c r="E218" s="44"/>
      <c r="F218" s="46"/>
      <c r="G218" s="46"/>
      <c r="H218" s="46"/>
      <c r="I218" s="46"/>
      <c r="J218" s="46"/>
      <c r="K218" s="46"/>
      <c r="L218" s="46"/>
      <c r="M218" s="45"/>
      <c r="N218" s="44"/>
    </row>
    <row r="219" customFormat="false" ht="15" hidden="false" customHeight="false" outlineLevel="0" collapsed="false">
      <c r="A219" s="44"/>
      <c r="B219" s="45"/>
      <c r="C219" s="45"/>
      <c r="D219" s="44"/>
      <c r="E219" s="44"/>
      <c r="F219" s="46"/>
      <c r="G219" s="46"/>
      <c r="H219" s="46"/>
      <c r="I219" s="46"/>
      <c r="J219" s="46"/>
      <c r="K219" s="46"/>
      <c r="L219" s="46"/>
      <c r="M219" s="45"/>
      <c r="N219" s="44"/>
    </row>
    <row r="220" customFormat="false" ht="15" hidden="false" customHeight="false" outlineLevel="0" collapsed="false">
      <c r="A220" s="44"/>
      <c r="B220" s="45"/>
      <c r="C220" s="45"/>
      <c r="D220" s="44"/>
      <c r="E220" s="44"/>
      <c r="F220" s="46"/>
      <c r="G220" s="46"/>
      <c r="H220" s="46"/>
      <c r="I220" s="46"/>
      <c r="J220" s="46"/>
      <c r="K220" s="46"/>
      <c r="L220" s="46"/>
      <c r="M220" s="45"/>
      <c r="N220" s="44"/>
    </row>
    <row r="221" customFormat="false" ht="15" hidden="false" customHeight="false" outlineLevel="0" collapsed="false">
      <c r="A221" s="44"/>
      <c r="B221" s="45"/>
      <c r="C221" s="45"/>
      <c r="D221" s="44"/>
      <c r="E221" s="44"/>
      <c r="F221" s="46"/>
      <c r="G221" s="46"/>
      <c r="H221" s="46"/>
      <c r="I221" s="46"/>
      <c r="J221" s="46"/>
      <c r="K221" s="46"/>
      <c r="L221" s="46"/>
      <c r="M221" s="45"/>
      <c r="N221" s="44"/>
    </row>
    <row r="222" customFormat="false" ht="15" hidden="false" customHeight="false" outlineLevel="0" collapsed="false">
      <c r="A222" s="44"/>
      <c r="B222" s="45"/>
      <c r="C222" s="45"/>
      <c r="D222" s="44"/>
      <c r="E222" s="44"/>
      <c r="F222" s="46"/>
      <c r="G222" s="46"/>
      <c r="H222" s="46"/>
      <c r="I222" s="46"/>
      <c r="J222" s="46"/>
      <c r="K222" s="46"/>
      <c r="L222" s="46"/>
      <c r="M222" s="45"/>
      <c r="N222" s="44"/>
    </row>
    <row r="223" customFormat="false" ht="15" hidden="false" customHeight="false" outlineLevel="0" collapsed="false">
      <c r="A223" s="44"/>
      <c r="B223" s="45"/>
      <c r="C223" s="45"/>
      <c r="D223" s="44"/>
      <c r="E223" s="44"/>
      <c r="F223" s="46"/>
      <c r="G223" s="46"/>
      <c r="H223" s="46"/>
      <c r="I223" s="46"/>
      <c r="J223" s="46"/>
      <c r="K223" s="46"/>
      <c r="L223" s="46"/>
      <c r="M223" s="45"/>
      <c r="N223" s="44"/>
    </row>
    <row r="224" customFormat="false" ht="15" hidden="false" customHeight="false" outlineLevel="0" collapsed="false">
      <c r="A224" s="44"/>
      <c r="B224" s="45"/>
      <c r="C224" s="45"/>
      <c r="D224" s="44"/>
      <c r="E224" s="44"/>
      <c r="F224" s="46"/>
      <c r="G224" s="46"/>
      <c r="H224" s="46"/>
      <c r="I224" s="46"/>
      <c r="J224" s="46"/>
      <c r="K224" s="46"/>
      <c r="L224" s="46"/>
      <c r="M224" s="45"/>
      <c r="N224" s="44"/>
    </row>
    <row r="225" customFormat="false" ht="15" hidden="false" customHeight="false" outlineLevel="0" collapsed="false">
      <c r="A225" s="44"/>
      <c r="B225" s="45"/>
      <c r="C225" s="45"/>
      <c r="D225" s="44"/>
      <c r="E225" s="44"/>
      <c r="F225" s="46"/>
      <c r="G225" s="46"/>
      <c r="H225" s="46"/>
      <c r="I225" s="46"/>
      <c r="J225" s="46"/>
      <c r="K225" s="46"/>
      <c r="L225" s="46"/>
      <c r="M225" s="45"/>
      <c r="N225" s="44"/>
    </row>
    <row r="226" customFormat="false" ht="15" hidden="false" customHeight="false" outlineLevel="0" collapsed="false">
      <c r="A226" s="44"/>
      <c r="B226" s="45"/>
      <c r="C226" s="45"/>
      <c r="D226" s="44"/>
      <c r="E226" s="44"/>
      <c r="F226" s="46"/>
      <c r="G226" s="46"/>
      <c r="H226" s="46"/>
      <c r="I226" s="46"/>
      <c r="J226" s="46"/>
      <c r="K226" s="46"/>
      <c r="L226" s="46"/>
      <c r="M226" s="45"/>
      <c r="N226" s="44"/>
    </row>
    <row r="227" customFormat="false" ht="15" hidden="false" customHeight="false" outlineLevel="0" collapsed="false">
      <c r="A227" s="44"/>
      <c r="B227" s="45"/>
      <c r="C227" s="45"/>
      <c r="D227" s="44"/>
      <c r="E227" s="44"/>
      <c r="F227" s="46"/>
      <c r="G227" s="46"/>
      <c r="H227" s="46"/>
      <c r="I227" s="46"/>
      <c r="J227" s="46"/>
      <c r="K227" s="46"/>
      <c r="L227" s="46"/>
      <c r="M227" s="45"/>
      <c r="N227" s="44"/>
    </row>
    <row r="228" customFormat="false" ht="15" hidden="false" customHeight="false" outlineLevel="0" collapsed="false">
      <c r="A228" s="44"/>
      <c r="B228" s="45"/>
      <c r="C228" s="45"/>
      <c r="D228" s="44"/>
      <c r="E228" s="44"/>
      <c r="F228" s="46"/>
      <c r="G228" s="46"/>
      <c r="H228" s="46"/>
      <c r="I228" s="46"/>
      <c r="J228" s="46"/>
      <c r="K228" s="46"/>
      <c r="L228" s="46"/>
      <c r="M228" s="45"/>
      <c r="N228" s="44"/>
    </row>
    <row r="229" customFormat="false" ht="15" hidden="false" customHeight="false" outlineLevel="0" collapsed="false">
      <c r="A229" s="44"/>
      <c r="B229" s="45"/>
      <c r="C229" s="45"/>
      <c r="D229" s="44"/>
      <c r="E229" s="44"/>
      <c r="F229" s="46"/>
      <c r="G229" s="46"/>
      <c r="H229" s="46"/>
      <c r="I229" s="46"/>
      <c r="J229" s="46"/>
      <c r="K229" s="46"/>
      <c r="L229" s="46"/>
      <c r="M229" s="45"/>
      <c r="N229" s="44"/>
    </row>
    <row r="230" customFormat="false" ht="15" hidden="false" customHeight="false" outlineLevel="0" collapsed="false">
      <c r="A230" s="44"/>
      <c r="B230" s="45"/>
      <c r="C230" s="45"/>
      <c r="D230" s="44"/>
      <c r="E230" s="44"/>
      <c r="F230" s="46"/>
      <c r="G230" s="46"/>
      <c r="H230" s="46"/>
      <c r="I230" s="46"/>
      <c r="J230" s="46"/>
      <c r="K230" s="46"/>
      <c r="L230" s="46"/>
      <c r="M230" s="45"/>
      <c r="N230" s="44"/>
    </row>
    <row r="231" customFormat="false" ht="15" hidden="false" customHeight="false" outlineLevel="0" collapsed="false">
      <c r="A231" s="44"/>
      <c r="B231" s="45"/>
      <c r="C231" s="45"/>
      <c r="D231" s="44"/>
      <c r="E231" s="44"/>
      <c r="F231" s="46"/>
      <c r="G231" s="46"/>
      <c r="H231" s="46"/>
      <c r="I231" s="46"/>
      <c r="J231" s="46"/>
      <c r="K231" s="46"/>
      <c r="L231" s="46"/>
      <c r="M231" s="45"/>
      <c r="N231" s="44"/>
    </row>
    <row r="232" customFormat="false" ht="15" hidden="false" customHeight="false" outlineLevel="0" collapsed="false">
      <c r="A232" s="44"/>
      <c r="B232" s="45"/>
      <c r="C232" s="45"/>
      <c r="D232" s="44"/>
      <c r="E232" s="44"/>
      <c r="F232" s="46"/>
      <c r="G232" s="46"/>
      <c r="H232" s="46"/>
      <c r="I232" s="46"/>
      <c r="J232" s="46"/>
      <c r="K232" s="46"/>
      <c r="L232" s="46"/>
      <c r="M232" s="45"/>
      <c r="N232" s="44"/>
    </row>
    <row r="233" customFormat="false" ht="15" hidden="false" customHeight="false" outlineLevel="0" collapsed="false">
      <c r="A233" s="44"/>
      <c r="B233" s="45"/>
      <c r="C233" s="45"/>
      <c r="D233" s="44"/>
      <c r="E233" s="44"/>
      <c r="F233" s="46"/>
      <c r="G233" s="46"/>
      <c r="H233" s="46"/>
      <c r="I233" s="46"/>
      <c r="J233" s="46"/>
      <c r="K233" s="46"/>
      <c r="L233" s="46"/>
      <c r="M233" s="45"/>
      <c r="N233" s="44"/>
    </row>
    <row r="234" customFormat="false" ht="15" hidden="false" customHeight="false" outlineLevel="0" collapsed="false">
      <c r="A234" s="44"/>
      <c r="B234" s="45"/>
      <c r="C234" s="45"/>
      <c r="D234" s="44"/>
      <c r="E234" s="44"/>
      <c r="F234" s="46"/>
      <c r="G234" s="46"/>
      <c r="H234" s="46"/>
      <c r="I234" s="46"/>
      <c r="J234" s="46"/>
      <c r="K234" s="46"/>
      <c r="L234" s="46"/>
      <c r="M234" s="45"/>
      <c r="N234" s="44"/>
    </row>
    <row r="235" customFormat="false" ht="15" hidden="false" customHeight="false" outlineLevel="0" collapsed="false">
      <c r="A235" s="44"/>
      <c r="B235" s="45"/>
      <c r="C235" s="45"/>
      <c r="D235" s="44"/>
      <c r="E235" s="44"/>
      <c r="F235" s="46"/>
      <c r="G235" s="46"/>
      <c r="H235" s="46"/>
      <c r="I235" s="46"/>
      <c r="J235" s="46"/>
      <c r="K235" s="46"/>
      <c r="L235" s="46"/>
      <c r="M235" s="45"/>
      <c r="N235" s="44"/>
    </row>
    <row r="236" customFormat="false" ht="15" hidden="false" customHeight="false" outlineLevel="0" collapsed="false">
      <c r="A236" s="44"/>
      <c r="B236" s="45"/>
      <c r="C236" s="45"/>
      <c r="D236" s="44"/>
      <c r="E236" s="44"/>
      <c r="F236" s="46"/>
      <c r="G236" s="46"/>
      <c r="H236" s="46"/>
      <c r="I236" s="46"/>
      <c r="J236" s="46"/>
      <c r="K236" s="46"/>
      <c r="L236" s="46"/>
      <c r="M236" s="45"/>
      <c r="N236" s="44"/>
    </row>
    <row r="237" customFormat="false" ht="15" hidden="false" customHeight="false" outlineLevel="0" collapsed="false">
      <c r="A237" s="44"/>
      <c r="B237" s="45"/>
      <c r="C237" s="45"/>
      <c r="D237" s="44"/>
      <c r="E237" s="44"/>
      <c r="F237" s="46"/>
      <c r="G237" s="46"/>
      <c r="H237" s="46"/>
      <c r="I237" s="46"/>
      <c r="J237" s="46"/>
      <c r="K237" s="46"/>
      <c r="L237" s="46"/>
      <c r="M237" s="45"/>
      <c r="N237" s="44"/>
    </row>
    <row r="238" customFormat="false" ht="15" hidden="false" customHeight="false" outlineLevel="0" collapsed="false">
      <c r="A238" s="44"/>
      <c r="B238" s="45"/>
      <c r="C238" s="45"/>
      <c r="D238" s="44"/>
      <c r="E238" s="44"/>
      <c r="F238" s="46"/>
      <c r="G238" s="46"/>
      <c r="H238" s="46"/>
      <c r="I238" s="46"/>
      <c r="J238" s="46"/>
      <c r="K238" s="46"/>
      <c r="L238" s="46"/>
      <c r="M238" s="45"/>
      <c r="N238" s="44"/>
    </row>
    <row r="239" customFormat="false" ht="15" hidden="false" customHeight="false" outlineLevel="0" collapsed="false">
      <c r="A239" s="44"/>
      <c r="B239" s="45"/>
      <c r="C239" s="45"/>
      <c r="D239" s="44"/>
      <c r="E239" s="44"/>
      <c r="F239" s="46"/>
      <c r="G239" s="46"/>
      <c r="H239" s="46"/>
      <c r="I239" s="46"/>
      <c r="J239" s="46"/>
      <c r="K239" s="46"/>
      <c r="L239" s="46"/>
      <c r="M239" s="45"/>
      <c r="N239" s="44"/>
    </row>
    <row r="240" customFormat="false" ht="15" hidden="false" customHeight="false" outlineLevel="0" collapsed="false">
      <c r="A240" s="44"/>
      <c r="B240" s="45"/>
      <c r="C240" s="45"/>
      <c r="D240" s="44"/>
      <c r="E240" s="44"/>
      <c r="F240" s="46"/>
      <c r="G240" s="46"/>
      <c r="H240" s="46"/>
      <c r="I240" s="46"/>
      <c r="J240" s="46"/>
      <c r="K240" s="46"/>
      <c r="L240" s="46"/>
      <c r="M240" s="45"/>
      <c r="N240" s="44"/>
    </row>
    <row r="241" customFormat="false" ht="15" hidden="false" customHeight="false" outlineLevel="0" collapsed="false">
      <c r="A241" s="44"/>
      <c r="B241" s="45"/>
      <c r="C241" s="45"/>
      <c r="D241" s="44"/>
      <c r="E241" s="44"/>
      <c r="F241" s="46"/>
      <c r="G241" s="46"/>
      <c r="H241" s="46"/>
      <c r="I241" s="46"/>
      <c r="J241" s="46"/>
      <c r="K241" s="46"/>
      <c r="L241" s="46"/>
      <c r="M241" s="45"/>
      <c r="N241" s="44"/>
    </row>
    <row r="242" customFormat="false" ht="15" hidden="false" customHeight="false" outlineLevel="0" collapsed="false">
      <c r="A242" s="44"/>
      <c r="B242" s="45"/>
      <c r="C242" s="45"/>
      <c r="D242" s="44"/>
      <c r="E242" s="44"/>
      <c r="F242" s="46"/>
      <c r="G242" s="46"/>
      <c r="H242" s="46"/>
      <c r="I242" s="46"/>
      <c r="J242" s="46"/>
      <c r="K242" s="46"/>
      <c r="L242" s="46"/>
      <c r="M242" s="45"/>
      <c r="N242" s="44"/>
    </row>
    <row r="243" customFormat="false" ht="15" hidden="false" customHeight="false" outlineLevel="0" collapsed="false">
      <c r="A243" s="44"/>
      <c r="B243" s="45"/>
      <c r="C243" s="45"/>
      <c r="D243" s="44"/>
      <c r="E243" s="44"/>
      <c r="F243" s="46"/>
      <c r="G243" s="46"/>
      <c r="H243" s="46"/>
      <c r="I243" s="46"/>
      <c r="J243" s="46"/>
      <c r="K243" s="46"/>
      <c r="L243" s="46"/>
      <c r="M243" s="45"/>
      <c r="N243" s="44"/>
    </row>
    <row r="244" customFormat="false" ht="15" hidden="false" customHeight="false" outlineLevel="0" collapsed="false">
      <c r="A244" s="44"/>
      <c r="B244" s="45"/>
      <c r="C244" s="45"/>
      <c r="D244" s="44"/>
      <c r="E244" s="44"/>
      <c r="F244" s="46"/>
      <c r="G244" s="46"/>
      <c r="H244" s="46"/>
      <c r="I244" s="46"/>
      <c r="J244" s="46"/>
      <c r="K244" s="46"/>
      <c r="L244" s="46"/>
      <c r="M244" s="45"/>
      <c r="N244" s="44"/>
    </row>
    <row r="245" customFormat="false" ht="15" hidden="false" customHeight="false" outlineLevel="0" collapsed="false">
      <c r="A245" s="44"/>
      <c r="B245" s="45"/>
      <c r="C245" s="45"/>
      <c r="D245" s="44"/>
      <c r="E245" s="44"/>
      <c r="F245" s="46"/>
      <c r="G245" s="46"/>
      <c r="H245" s="46"/>
      <c r="I245" s="46"/>
      <c r="J245" s="46"/>
      <c r="K245" s="46"/>
      <c r="L245" s="46"/>
      <c r="M245" s="45"/>
      <c r="N245" s="44"/>
    </row>
    <row r="246" customFormat="false" ht="15" hidden="false" customHeight="false" outlineLevel="0" collapsed="false">
      <c r="A246" s="44"/>
      <c r="B246" s="45"/>
      <c r="C246" s="45"/>
      <c r="D246" s="44"/>
      <c r="E246" s="44"/>
      <c r="F246" s="46"/>
      <c r="G246" s="46"/>
      <c r="H246" s="46"/>
      <c r="I246" s="46"/>
      <c r="J246" s="46"/>
      <c r="K246" s="46"/>
      <c r="L246" s="46"/>
      <c r="M246" s="45"/>
      <c r="N246" s="44"/>
    </row>
    <row r="247" customFormat="false" ht="15" hidden="false" customHeight="false" outlineLevel="0" collapsed="false">
      <c r="A247" s="44"/>
      <c r="B247" s="45"/>
      <c r="C247" s="45"/>
      <c r="D247" s="44"/>
      <c r="E247" s="44"/>
      <c r="F247" s="46"/>
      <c r="G247" s="46"/>
      <c r="H247" s="46"/>
      <c r="I247" s="46"/>
      <c r="J247" s="46"/>
      <c r="K247" s="46"/>
      <c r="L247" s="46"/>
      <c r="M247" s="45"/>
      <c r="N247" s="44"/>
    </row>
    <row r="248" customFormat="false" ht="15" hidden="false" customHeight="false" outlineLevel="0" collapsed="false">
      <c r="A248" s="44"/>
      <c r="B248" s="45"/>
      <c r="C248" s="45"/>
      <c r="D248" s="44"/>
      <c r="E248" s="44"/>
      <c r="F248" s="46"/>
      <c r="G248" s="46"/>
      <c r="H248" s="46"/>
      <c r="I248" s="46"/>
      <c r="J248" s="46"/>
      <c r="K248" s="46"/>
      <c r="L248" s="46"/>
      <c r="M248" s="45"/>
      <c r="N248" s="44"/>
    </row>
    <row r="249" customFormat="false" ht="15" hidden="false" customHeight="false" outlineLevel="0" collapsed="false">
      <c r="A249" s="44"/>
      <c r="B249" s="45"/>
      <c r="C249" s="45"/>
      <c r="D249" s="44"/>
      <c r="E249" s="44"/>
      <c r="F249" s="46"/>
      <c r="G249" s="46"/>
      <c r="H249" s="46"/>
      <c r="I249" s="46"/>
      <c r="J249" s="46"/>
      <c r="K249" s="46"/>
      <c r="L249" s="46"/>
      <c r="M249" s="45"/>
      <c r="N249" s="44"/>
    </row>
    <row r="250" customFormat="false" ht="15" hidden="false" customHeight="false" outlineLevel="0" collapsed="false">
      <c r="A250" s="44"/>
      <c r="B250" s="45"/>
      <c r="C250" s="45"/>
      <c r="D250" s="44"/>
      <c r="E250" s="44"/>
      <c r="F250" s="46"/>
      <c r="G250" s="46"/>
      <c r="H250" s="46"/>
      <c r="I250" s="46"/>
      <c r="J250" s="46"/>
      <c r="K250" s="46"/>
      <c r="L250" s="46"/>
      <c r="M250" s="45"/>
      <c r="N250" s="44"/>
    </row>
    <row r="251" customFormat="false" ht="15" hidden="false" customHeight="false" outlineLevel="0" collapsed="false">
      <c r="A251" s="44"/>
      <c r="B251" s="45"/>
      <c r="C251" s="45"/>
      <c r="D251" s="44"/>
      <c r="E251" s="44"/>
      <c r="F251" s="46"/>
      <c r="G251" s="46"/>
      <c r="H251" s="46"/>
      <c r="I251" s="46"/>
      <c r="J251" s="46"/>
      <c r="K251" s="46"/>
      <c r="L251" s="46"/>
      <c r="M251" s="45"/>
      <c r="N251" s="44"/>
    </row>
    <row r="252" customFormat="false" ht="15" hidden="false" customHeight="false" outlineLevel="0" collapsed="false">
      <c r="A252" s="44"/>
      <c r="B252" s="45"/>
      <c r="C252" s="45"/>
      <c r="D252" s="44"/>
      <c r="E252" s="44"/>
      <c r="F252" s="46"/>
      <c r="G252" s="46"/>
      <c r="H252" s="46"/>
      <c r="I252" s="46"/>
      <c r="J252" s="46"/>
      <c r="K252" s="46"/>
      <c r="L252" s="46"/>
      <c r="M252" s="45"/>
      <c r="N252" s="44"/>
    </row>
    <row r="253" customFormat="false" ht="15" hidden="false" customHeight="false" outlineLevel="0" collapsed="false">
      <c r="A253" s="44"/>
      <c r="B253" s="45"/>
      <c r="C253" s="45"/>
      <c r="D253" s="44"/>
      <c r="E253" s="44"/>
      <c r="F253" s="46"/>
      <c r="G253" s="46"/>
      <c r="H253" s="46"/>
      <c r="I253" s="46"/>
      <c r="J253" s="46"/>
      <c r="K253" s="46"/>
      <c r="L253" s="46"/>
      <c r="M253" s="45"/>
      <c r="N253" s="44"/>
    </row>
    <row r="254" customFormat="false" ht="15" hidden="false" customHeight="false" outlineLevel="0" collapsed="false">
      <c r="A254" s="44"/>
      <c r="B254" s="45"/>
      <c r="C254" s="45"/>
      <c r="D254" s="44"/>
      <c r="E254" s="44"/>
      <c r="F254" s="46"/>
      <c r="G254" s="46"/>
      <c r="H254" s="46"/>
      <c r="I254" s="46"/>
      <c r="J254" s="46"/>
      <c r="K254" s="46"/>
      <c r="L254" s="46"/>
      <c r="M254" s="45"/>
      <c r="N254" s="44"/>
    </row>
    <row r="255" customFormat="false" ht="15" hidden="false" customHeight="false" outlineLevel="0" collapsed="false">
      <c r="A255" s="44"/>
      <c r="B255" s="45"/>
      <c r="C255" s="45"/>
      <c r="D255" s="44"/>
      <c r="E255" s="44"/>
      <c r="F255" s="46"/>
      <c r="G255" s="46"/>
      <c r="H255" s="46"/>
      <c r="I255" s="46"/>
      <c r="J255" s="46"/>
      <c r="K255" s="46"/>
      <c r="L255" s="46"/>
      <c r="M255" s="45"/>
      <c r="N255" s="44"/>
    </row>
    <row r="256" customFormat="false" ht="15" hidden="false" customHeight="false" outlineLevel="0" collapsed="false">
      <c r="A256" s="44"/>
      <c r="B256" s="45"/>
      <c r="C256" s="45"/>
      <c r="D256" s="44"/>
      <c r="E256" s="44"/>
      <c r="F256" s="46"/>
      <c r="G256" s="46"/>
      <c r="H256" s="46"/>
      <c r="I256" s="46"/>
      <c r="J256" s="46"/>
      <c r="K256" s="46"/>
      <c r="L256" s="46"/>
      <c r="M256" s="45"/>
      <c r="N256" s="44"/>
    </row>
    <row r="257" customFormat="false" ht="15" hidden="false" customHeight="false" outlineLevel="0" collapsed="false">
      <c r="A257" s="44"/>
      <c r="B257" s="45"/>
      <c r="C257" s="45"/>
      <c r="D257" s="44"/>
      <c r="E257" s="44"/>
      <c r="F257" s="46"/>
      <c r="G257" s="46"/>
      <c r="H257" s="46"/>
      <c r="I257" s="46"/>
      <c r="J257" s="46"/>
      <c r="K257" s="46"/>
      <c r="L257" s="46"/>
      <c r="M257" s="45"/>
      <c r="N257" s="44"/>
    </row>
    <row r="258" customFormat="false" ht="15" hidden="false" customHeight="false" outlineLevel="0" collapsed="false">
      <c r="A258" s="44"/>
      <c r="B258" s="45"/>
      <c r="C258" s="45"/>
      <c r="D258" s="44"/>
      <c r="E258" s="44"/>
      <c r="F258" s="46"/>
      <c r="G258" s="46"/>
      <c r="H258" s="46"/>
      <c r="I258" s="46"/>
      <c r="J258" s="46"/>
      <c r="K258" s="46"/>
      <c r="L258" s="46"/>
      <c r="M258" s="45"/>
      <c r="N258" s="44"/>
    </row>
    <row r="259" customFormat="false" ht="15" hidden="false" customHeight="false" outlineLevel="0" collapsed="false">
      <c r="A259" s="44"/>
      <c r="B259" s="45"/>
      <c r="C259" s="45"/>
      <c r="D259" s="44"/>
      <c r="E259" s="44"/>
      <c r="F259" s="46"/>
      <c r="G259" s="46"/>
      <c r="H259" s="46"/>
      <c r="I259" s="46"/>
      <c r="J259" s="46"/>
      <c r="K259" s="46"/>
      <c r="L259" s="46"/>
      <c r="M259" s="45"/>
      <c r="N259" s="44"/>
    </row>
    <row r="260" customFormat="false" ht="15" hidden="false" customHeight="false" outlineLevel="0" collapsed="false">
      <c r="A260" s="44"/>
      <c r="B260" s="45"/>
      <c r="C260" s="45"/>
      <c r="D260" s="44"/>
      <c r="E260" s="44"/>
      <c r="F260" s="46"/>
      <c r="G260" s="46"/>
      <c r="H260" s="46"/>
      <c r="I260" s="46"/>
      <c r="J260" s="46"/>
      <c r="K260" s="46"/>
      <c r="L260" s="46"/>
      <c r="M260" s="45"/>
      <c r="N260" s="44"/>
    </row>
    <row r="261" customFormat="false" ht="15" hidden="false" customHeight="false" outlineLevel="0" collapsed="false">
      <c r="A261" s="44"/>
      <c r="B261" s="45"/>
      <c r="C261" s="45"/>
      <c r="D261" s="44"/>
      <c r="E261" s="44"/>
      <c r="F261" s="46"/>
      <c r="G261" s="46"/>
      <c r="H261" s="46"/>
      <c r="I261" s="46"/>
      <c r="J261" s="46"/>
      <c r="K261" s="46"/>
      <c r="L261" s="46"/>
      <c r="M261" s="45"/>
      <c r="N261" s="44"/>
    </row>
    <row r="262" customFormat="false" ht="15" hidden="false" customHeight="false" outlineLevel="0" collapsed="false">
      <c r="A262" s="44"/>
      <c r="B262" s="45"/>
      <c r="C262" s="45"/>
      <c r="D262" s="44"/>
      <c r="E262" s="44"/>
      <c r="F262" s="46"/>
      <c r="G262" s="46"/>
      <c r="H262" s="46"/>
      <c r="I262" s="46"/>
      <c r="J262" s="46"/>
      <c r="K262" s="46"/>
      <c r="L262" s="46"/>
      <c r="M262" s="45"/>
      <c r="N262" s="44"/>
    </row>
    <row r="263" customFormat="false" ht="15" hidden="false" customHeight="false" outlineLevel="0" collapsed="false">
      <c r="A263" s="44"/>
      <c r="B263" s="45"/>
      <c r="C263" s="45"/>
      <c r="D263" s="44"/>
      <c r="E263" s="44"/>
      <c r="F263" s="46"/>
      <c r="G263" s="46"/>
      <c r="H263" s="46"/>
      <c r="I263" s="46"/>
      <c r="J263" s="46"/>
      <c r="K263" s="46"/>
      <c r="L263" s="46"/>
      <c r="M263" s="45"/>
      <c r="N263" s="44"/>
    </row>
    <row r="264" customFormat="false" ht="15" hidden="false" customHeight="false" outlineLevel="0" collapsed="false">
      <c r="A264" s="44"/>
      <c r="B264" s="45"/>
      <c r="C264" s="45"/>
      <c r="D264" s="44"/>
      <c r="E264" s="44"/>
      <c r="F264" s="46"/>
      <c r="G264" s="46"/>
      <c r="H264" s="46"/>
      <c r="I264" s="46"/>
      <c r="J264" s="46"/>
      <c r="K264" s="46"/>
      <c r="L264" s="46"/>
      <c r="M264" s="45"/>
      <c r="N264" s="44"/>
    </row>
    <row r="265" customFormat="false" ht="15" hidden="false" customHeight="false" outlineLevel="0" collapsed="false">
      <c r="A265" s="44"/>
      <c r="B265" s="45"/>
      <c r="C265" s="45"/>
      <c r="D265" s="44"/>
      <c r="E265" s="44"/>
      <c r="F265" s="46"/>
      <c r="G265" s="46"/>
      <c r="H265" s="46"/>
      <c r="I265" s="46"/>
      <c r="J265" s="46"/>
      <c r="K265" s="46"/>
      <c r="L265" s="46"/>
      <c r="M265" s="45"/>
      <c r="N265" s="44"/>
    </row>
    <row r="266" customFormat="false" ht="15" hidden="false" customHeight="false" outlineLevel="0" collapsed="false">
      <c r="A266" s="44"/>
      <c r="B266" s="45"/>
      <c r="C266" s="45"/>
      <c r="D266" s="44"/>
      <c r="E266" s="44"/>
      <c r="F266" s="46"/>
      <c r="G266" s="46"/>
      <c r="H266" s="46"/>
      <c r="I266" s="46"/>
      <c r="J266" s="46"/>
      <c r="K266" s="46"/>
      <c r="L266" s="46"/>
      <c r="M266" s="45"/>
      <c r="N266" s="44"/>
    </row>
    <row r="267" customFormat="false" ht="15" hidden="false" customHeight="false" outlineLevel="0" collapsed="false">
      <c r="A267" s="44"/>
      <c r="B267" s="45"/>
      <c r="C267" s="45"/>
      <c r="D267" s="44"/>
      <c r="E267" s="44"/>
      <c r="F267" s="46"/>
      <c r="G267" s="46"/>
      <c r="H267" s="46"/>
      <c r="I267" s="46"/>
      <c r="J267" s="46"/>
      <c r="K267" s="46"/>
      <c r="L267" s="46"/>
      <c r="M267" s="45"/>
      <c r="N267" s="44"/>
    </row>
    <row r="268" customFormat="false" ht="15" hidden="false" customHeight="false" outlineLevel="0" collapsed="false">
      <c r="A268" s="44"/>
      <c r="B268" s="45"/>
      <c r="C268" s="45"/>
      <c r="D268" s="44"/>
      <c r="E268" s="44"/>
      <c r="F268" s="46"/>
      <c r="G268" s="46"/>
      <c r="H268" s="46"/>
      <c r="I268" s="46"/>
      <c r="J268" s="46"/>
      <c r="K268" s="46"/>
      <c r="L268" s="46"/>
      <c r="M268" s="45"/>
      <c r="N268" s="44"/>
    </row>
    <row r="269" customFormat="false" ht="15" hidden="false" customHeight="false" outlineLevel="0" collapsed="false">
      <c r="A269" s="44"/>
      <c r="B269" s="45"/>
      <c r="C269" s="45"/>
      <c r="D269" s="44"/>
      <c r="E269" s="44"/>
      <c r="F269" s="46"/>
      <c r="G269" s="46"/>
      <c r="H269" s="46"/>
      <c r="I269" s="46"/>
      <c r="J269" s="46"/>
      <c r="K269" s="46"/>
      <c r="L269" s="46"/>
      <c r="M269" s="45"/>
      <c r="N269" s="44"/>
    </row>
    <row r="270" customFormat="false" ht="15" hidden="false" customHeight="false" outlineLevel="0" collapsed="false">
      <c r="A270" s="44"/>
      <c r="B270" s="45"/>
      <c r="C270" s="45"/>
      <c r="D270" s="44"/>
      <c r="E270" s="44"/>
      <c r="F270" s="46"/>
      <c r="G270" s="46"/>
      <c r="H270" s="46"/>
      <c r="I270" s="46"/>
      <c r="J270" s="46"/>
      <c r="K270" s="46"/>
      <c r="L270" s="46"/>
      <c r="M270" s="45"/>
      <c r="N270" s="44"/>
    </row>
    <row r="271" customFormat="false" ht="15" hidden="false" customHeight="false" outlineLevel="0" collapsed="false">
      <c r="A271" s="44"/>
      <c r="B271" s="45"/>
      <c r="C271" s="45"/>
      <c r="D271" s="44"/>
      <c r="E271" s="44"/>
      <c r="F271" s="46"/>
      <c r="G271" s="46"/>
      <c r="H271" s="46"/>
      <c r="I271" s="46"/>
      <c r="J271" s="46"/>
      <c r="K271" s="46"/>
      <c r="L271" s="46"/>
      <c r="M271" s="45"/>
      <c r="N271" s="44"/>
    </row>
    <row r="272" customFormat="false" ht="15" hidden="false" customHeight="false" outlineLevel="0" collapsed="false">
      <c r="A272" s="44"/>
      <c r="B272" s="45"/>
      <c r="C272" s="45"/>
      <c r="D272" s="44"/>
      <c r="E272" s="44"/>
      <c r="F272" s="46"/>
      <c r="G272" s="46"/>
      <c r="H272" s="46"/>
      <c r="I272" s="46"/>
      <c r="J272" s="46"/>
      <c r="K272" s="46"/>
      <c r="L272" s="46"/>
      <c r="M272" s="45"/>
      <c r="N272" s="44"/>
    </row>
    <row r="273" customFormat="false" ht="15" hidden="false" customHeight="false" outlineLevel="0" collapsed="false">
      <c r="A273" s="44"/>
      <c r="B273" s="45"/>
      <c r="C273" s="45"/>
      <c r="D273" s="44"/>
      <c r="E273" s="44"/>
      <c r="F273" s="46"/>
      <c r="G273" s="46"/>
      <c r="H273" s="46"/>
      <c r="I273" s="46"/>
      <c r="J273" s="46"/>
      <c r="K273" s="46"/>
      <c r="L273" s="46"/>
      <c r="M273" s="45"/>
      <c r="N273" s="44"/>
    </row>
    <row r="274" customFormat="false" ht="15" hidden="false" customHeight="false" outlineLevel="0" collapsed="false">
      <c r="A274" s="44"/>
      <c r="B274" s="45"/>
      <c r="C274" s="45"/>
      <c r="D274" s="44"/>
      <c r="E274" s="44"/>
      <c r="F274" s="46"/>
      <c r="G274" s="46"/>
      <c r="H274" s="46"/>
      <c r="I274" s="46"/>
      <c r="J274" s="46"/>
      <c r="K274" s="46"/>
      <c r="L274" s="46"/>
      <c r="M274" s="45"/>
      <c r="N274" s="44"/>
    </row>
    <row r="275" customFormat="false" ht="15" hidden="false" customHeight="false" outlineLevel="0" collapsed="false">
      <c r="A275" s="44"/>
      <c r="B275" s="45"/>
      <c r="C275" s="45"/>
      <c r="D275" s="44"/>
      <c r="E275" s="44"/>
      <c r="F275" s="46"/>
      <c r="G275" s="46"/>
      <c r="H275" s="46"/>
      <c r="I275" s="46"/>
      <c r="J275" s="46"/>
      <c r="K275" s="46"/>
      <c r="L275" s="46"/>
      <c r="M275" s="45"/>
      <c r="N275" s="44"/>
    </row>
    <row r="276" customFormat="false" ht="15" hidden="false" customHeight="false" outlineLevel="0" collapsed="false">
      <c r="A276" s="44"/>
      <c r="B276" s="45"/>
      <c r="C276" s="45"/>
      <c r="D276" s="44"/>
      <c r="E276" s="44"/>
      <c r="F276" s="46"/>
      <c r="G276" s="46"/>
      <c r="H276" s="46"/>
      <c r="I276" s="46"/>
      <c r="J276" s="46"/>
      <c r="K276" s="46"/>
      <c r="L276" s="46"/>
      <c r="M276" s="45"/>
      <c r="N276" s="44"/>
    </row>
    <row r="277" customFormat="false" ht="15" hidden="false" customHeight="false" outlineLevel="0" collapsed="false">
      <c r="A277" s="44"/>
      <c r="B277" s="45"/>
      <c r="C277" s="45"/>
      <c r="D277" s="44"/>
      <c r="E277" s="44"/>
      <c r="F277" s="46"/>
      <c r="G277" s="46"/>
      <c r="H277" s="46"/>
      <c r="I277" s="46"/>
      <c r="J277" s="46"/>
      <c r="K277" s="46"/>
      <c r="L277" s="46"/>
      <c r="M277" s="45"/>
      <c r="N277" s="44"/>
    </row>
    <row r="278" customFormat="false" ht="15" hidden="false" customHeight="false" outlineLevel="0" collapsed="false">
      <c r="A278" s="44"/>
      <c r="B278" s="45"/>
      <c r="C278" s="45"/>
      <c r="D278" s="44"/>
      <c r="E278" s="44"/>
      <c r="F278" s="46"/>
      <c r="G278" s="46"/>
      <c r="H278" s="46"/>
      <c r="I278" s="46"/>
      <c r="J278" s="46"/>
      <c r="K278" s="46"/>
      <c r="L278" s="46"/>
      <c r="M278" s="45"/>
      <c r="N278" s="44"/>
    </row>
    <row r="279" customFormat="false" ht="15" hidden="false" customHeight="false" outlineLevel="0" collapsed="false">
      <c r="A279" s="44"/>
      <c r="B279" s="45"/>
      <c r="C279" s="45"/>
      <c r="D279" s="44"/>
      <c r="E279" s="44"/>
      <c r="F279" s="46"/>
      <c r="G279" s="46"/>
      <c r="H279" s="46"/>
      <c r="I279" s="46"/>
      <c r="J279" s="46"/>
      <c r="K279" s="46"/>
      <c r="L279" s="46"/>
      <c r="M279" s="45"/>
      <c r="N279" s="44"/>
    </row>
    <row r="280" customFormat="false" ht="15" hidden="false" customHeight="false" outlineLevel="0" collapsed="false">
      <c r="A280" s="44"/>
      <c r="B280" s="45"/>
      <c r="C280" s="45"/>
      <c r="D280" s="44"/>
      <c r="E280" s="44"/>
      <c r="F280" s="46"/>
      <c r="G280" s="46"/>
      <c r="H280" s="46"/>
      <c r="I280" s="46"/>
      <c r="J280" s="46"/>
      <c r="K280" s="46"/>
      <c r="L280" s="46"/>
      <c r="M280" s="45"/>
      <c r="N280" s="44"/>
    </row>
    <row r="281" customFormat="false" ht="15" hidden="false" customHeight="false" outlineLevel="0" collapsed="false">
      <c r="A281" s="44"/>
      <c r="B281" s="45"/>
      <c r="C281" s="45"/>
      <c r="D281" s="44"/>
      <c r="E281" s="44"/>
      <c r="F281" s="46"/>
      <c r="G281" s="46"/>
      <c r="H281" s="46"/>
      <c r="I281" s="46"/>
      <c r="J281" s="46"/>
      <c r="K281" s="46"/>
      <c r="L281" s="46"/>
      <c r="M281" s="45"/>
      <c r="N281" s="44"/>
    </row>
    <row r="282" customFormat="false" ht="15" hidden="false" customHeight="false" outlineLevel="0" collapsed="false">
      <c r="A282" s="44"/>
      <c r="B282" s="45"/>
      <c r="C282" s="45"/>
      <c r="D282" s="44"/>
      <c r="E282" s="44"/>
      <c r="F282" s="46"/>
      <c r="G282" s="46"/>
      <c r="H282" s="46"/>
      <c r="I282" s="46"/>
      <c r="J282" s="46"/>
      <c r="K282" s="46"/>
      <c r="L282" s="46"/>
      <c r="M282" s="45"/>
      <c r="N282" s="44"/>
    </row>
    <row r="283" customFormat="false" ht="15" hidden="false" customHeight="false" outlineLevel="0" collapsed="false">
      <c r="A283" s="44"/>
      <c r="B283" s="45"/>
      <c r="C283" s="45"/>
      <c r="D283" s="44"/>
      <c r="E283" s="44"/>
      <c r="F283" s="46"/>
      <c r="G283" s="46"/>
      <c r="H283" s="46"/>
      <c r="I283" s="46"/>
      <c r="J283" s="46"/>
      <c r="K283" s="46"/>
      <c r="L283" s="46"/>
      <c r="M283" s="45"/>
      <c r="N283" s="44"/>
    </row>
    <row r="284" customFormat="false" ht="15" hidden="false" customHeight="false" outlineLevel="0" collapsed="false">
      <c r="A284" s="44"/>
      <c r="B284" s="45"/>
      <c r="C284" s="45"/>
      <c r="D284" s="44"/>
      <c r="E284" s="44"/>
      <c r="F284" s="46"/>
      <c r="G284" s="46"/>
      <c r="H284" s="46"/>
      <c r="I284" s="46"/>
      <c r="J284" s="46"/>
      <c r="K284" s="46"/>
      <c r="L284" s="46"/>
      <c r="M284" s="45"/>
      <c r="N284" s="44"/>
    </row>
    <row r="285" customFormat="false" ht="15" hidden="false" customHeight="false" outlineLevel="0" collapsed="false">
      <c r="A285" s="44"/>
      <c r="B285" s="45"/>
      <c r="C285" s="45"/>
      <c r="D285" s="44"/>
      <c r="E285" s="44"/>
      <c r="F285" s="46"/>
      <c r="G285" s="46"/>
      <c r="H285" s="46"/>
      <c r="I285" s="46"/>
      <c r="J285" s="46"/>
      <c r="K285" s="46"/>
      <c r="L285" s="46"/>
      <c r="M285" s="45"/>
      <c r="N285" s="44"/>
    </row>
    <row r="286" customFormat="false" ht="15" hidden="false" customHeight="false" outlineLevel="0" collapsed="false">
      <c r="A286" s="44"/>
      <c r="B286" s="45"/>
      <c r="C286" s="45"/>
      <c r="D286" s="44"/>
      <c r="E286" s="44"/>
      <c r="F286" s="46"/>
      <c r="G286" s="46"/>
      <c r="H286" s="46"/>
      <c r="I286" s="46"/>
      <c r="J286" s="46"/>
      <c r="K286" s="46"/>
      <c r="L286" s="46"/>
      <c r="M286" s="45"/>
      <c r="N286" s="44"/>
    </row>
    <row r="287" customFormat="false" ht="15" hidden="false" customHeight="false" outlineLevel="0" collapsed="false">
      <c r="A287" s="44"/>
      <c r="B287" s="45"/>
      <c r="C287" s="45"/>
      <c r="D287" s="44"/>
      <c r="E287" s="44"/>
      <c r="F287" s="46"/>
      <c r="G287" s="46"/>
      <c r="H287" s="46"/>
      <c r="I287" s="46"/>
      <c r="J287" s="46"/>
      <c r="K287" s="46"/>
      <c r="L287" s="46"/>
      <c r="M287" s="45"/>
      <c r="N287" s="44"/>
    </row>
    <row r="288" customFormat="false" ht="15" hidden="false" customHeight="false" outlineLevel="0" collapsed="false">
      <c r="A288" s="44"/>
      <c r="B288" s="45"/>
      <c r="C288" s="45"/>
      <c r="D288" s="44"/>
      <c r="E288" s="44"/>
      <c r="F288" s="46"/>
      <c r="G288" s="46"/>
      <c r="H288" s="46"/>
      <c r="I288" s="46"/>
      <c r="J288" s="46"/>
      <c r="K288" s="46"/>
      <c r="L288" s="46"/>
      <c r="M288" s="45"/>
      <c r="N288" s="44"/>
    </row>
    <row r="289" customFormat="false" ht="15" hidden="false" customHeight="false" outlineLevel="0" collapsed="false">
      <c r="A289" s="44"/>
      <c r="B289" s="45"/>
      <c r="C289" s="45"/>
      <c r="D289" s="44"/>
      <c r="E289" s="44"/>
      <c r="F289" s="46"/>
      <c r="G289" s="46"/>
      <c r="H289" s="46"/>
      <c r="I289" s="46"/>
      <c r="J289" s="46"/>
      <c r="K289" s="46"/>
      <c r="L289" s="46"/>
      <c r="M289" s="45"/>
      <c r="N289" s="44"/>
    </row>
    <row r="290" customFormat="false" ht="15" hidden="false" customHeight="false" outlineLevel="0" collapsed="false">
      <c r="A290" s="44"/>
      <c r="B290" s="45"/>
      <c r="C290" s="45"/>
      <c r="D290" s="44"/>
      <c r="E290" s="44"/>
      <c r="F290" s="46"/>
      <c r="G290" s="46"/>
      <c r="H290" s="46"/>
      <c r="I290" s="46"/>
      <c r="J290" s="46"/>
      <c r="K290" s="46"/>
      <c r="L290" s="46"/>
      <c r="M290" s="45"/>
      <c r="N290" s="44"/>
    </row>
    <row r="291" customFormat="false" ht="15" hidden="false" customHeight="false" outlineLevel="0" collapsed="false">
      <c r="A291" s="44"/>
      <c r="B291" s="45"/>
      <c r="C291" s="45"/>
      <c r="D291" s="44"/>
      <c r="E291" s="44"/>
      <c r="F291" s="46"/>
      <c r="G291" s="46"/>
      <c r="H291" s="46"/>
      <c r="I291" s="46"/>
      <c r="J291" s="46"/>
      <c r="K291" s="46"/>
      <c r="L291" s="46"/>
      <c r="M291" s="45"/>
      <c r="N291" s="44"/>
    </row>
    <row r="292" customFormat="false" ht="15" hidden="false" customHeight="false" outlineLevel="0" collapsed="false">
      <c r="A292" s="44"/>
      <c r="B292" s="45"/>
      <c r="C292" s="45"/>
      <c r="D292" s="44"/>
      <c r="E292" s="44"/>
      <c r="F292" s="46"/>
      <c r="G292" s="46"/>
      <c r="H292" s="46"/>
      <c r="I292" s="46"/>
      <c r="J292" s="46"/>
      <c r="K292" s="46"/>
      <c r="L292" s="46"/>
      <c r="M292" s="45"/>
      <c r="N292" s="44"/>
    </row>
    <row r="293" customFormat="false" ht="15" hidden="false" customHeight="false" outlineLevel="0" collapsed="false">
      <c r="A293" s="44"/>
      <c r="B293" s="45"/>
      <c r="C293" s="45"/>
      <c r="D293" s="44"/>
      <c r="E293" s="44"/>
      <c r="F293" s="46"/>
      <c r="G293" s="46"/>
      <c r="H293" s="46"/>
      <c r="I293" s="46"/>
      <c r="J293" s="46"/>
      <c r="K293" s="46"/>
      <c r="L293" s="46"/>
      <c r="M293" s="45"/>
      <c r="N293" s="44"/>
    </row>
    <row r="294" customFormat="false" ht="15" hidden="false" customHeight="false" outlineLevel="0" collapsed="false">
      <c r="A294" s="44"/>
      <c r="B294" s="45"/>
      <c r="C294" s="45"/>
      <c r="D294" s="44"/>
      <c r="E294" s="44"/>
      <c r="F294" s="46"/>
      <c r="G294" s="46"/>
      <c r="H294" s="46"/>
      <c r="I294" s="46"/>
      <c r="J294" s="46"/>
      <c r="K294" s="46"/>
      <c r="L294" s="46"/>
      <c r="M294" s="45"/>
      <c r="N294" s="44"/>
    </row>
    <row r="295" customFormat="false" ht="15" hidden="false" customHeight="false" outlineLevel="0" collapsed="false">
      <c r="A295" s="44"/>
      <c r="B295" s="45"/>
      <c r="C295" s="45"/>
      <c r="D295" s="44"/>
      <c r="E295" s="44"/>
      <c r="F295" s="46"/>
      <c r="G295" s="46"/>
      <c r="H295" s="46"/>
      <c r="I295" s="46"/>
      <c r="J295" s="46"/>
      <c r="K295" s="46"/>
      <c r="L295" s="46"/>
      <c r="M295" s="45"/>
      <c r="N295" s="44"/>
    </row>
    <row r="296" customFormat="false" ht="15" hidden="false" customHeight="false" outlineLevel="0" collapsed="false">
      <c r="A296" s="44"/>
      <c r="B296" s="45"/>
      <c r="C296" s="45"/>
      <c r="D296" s="44"/>
      <c r="E296" s="44"/>
      <c r="F296" s="46"/>
      <c r="G296" s="46"/>
      <c r="H296" s="46"/>
      <c r="I296" s="46"/>
      <c r="J296" s="46"/>
      <c r="K296" s="46"/>
      <c r="L296" s="46"/>
      <c r="M296" s="45"/>
      <c r="N296" s="44"/>
    </row>
    <row r="297" customFormat="false" ht="15" hidden="false" customHeight="false" outlineLevel="0" collapsed="false">
      <c r="A297" s="44"/>
      <c r="B297" s="45"/>
      <c r="C297" s="45"/>
      <c r="D297" s="44"/>
      <c r="E297" s="44"/>
      <c r="F297" s="46"/>
      <c r="G297" s="46"/>
      <c r="H297" s="46"/>
      <c r="I297" s="46"/>
      <c r="J297" s="46"/>
      <c r="K297" s="46"/>
      <c r="L297" s="46"/>
      <c r="M297" s="45"/>
      <c r="N297" s="44"/>
    </row>
    <row r="298" customFormat="false" ht="15" hidden="false" customHeight="false" outlineLevel="0" collapsed="false">
      <c r="A298" s="44"/>
      <c r="B298" s="45"/>
      <c r="C298" s="45"/>
      <c r="D298" s="44"/>
      <c r="E298" s="44"/>
      <c r="F298" s="46"/>
      <c r="G298" s="46"/>
      <c r="H298" s="46"/>
      <c r="I298" s="46"/>
      <c r="J298" s="46"/>
      <c r="K298" s="46"/>
      <c r="L298" s="46"/>
      <c r="M298" s="45"/>
      <c r="N298" s="44"/>
    </row>
    <row r="299" customFormat="false" ht="15" hidden="false" customHeight="false" outlineLevel="0" collapsed="false">
      <c r="A299" s="44"/>
      <c r="B299" s="45"/>
      <c r="C299" s="45"/>
      <c r="D299" s="44"/>
      <c r="E299" s="44"/>
      <c r="F299" s="46"/>
      <c r="G299" s="46"/>
      <c r="H299" s="46"/>
      <c r="I299" s="46"/>
      <c r="J299" s="46"/>
      <c r="K299" s="46"/>
      <c r="L299" s="46"/>
      <c r="M299" s="45"/>
      <c r="N299" s="44"/>
    </row>
    <row r="300" customFormat="false" ht="15" hidden="false" customHeight="false" outlineLevel="0" collapsed="false">
      <c r="A300" s="44"/>
      <c r="B300" s="45"/>
      <c r="C300" s="45"/>
      <c r="D300" s="44"/>
      <c r="E300" s="44"/>
      <c r="F300" s="46"/>
      <c r="G300" s="46"/>
      <c r="H300" s="46"/>
      <c r="I300" s="46"/>
      <c r="J300" s="46"/>
      <c r="K300" s="46"/>
      <c r="L300" s="46"/>
      <c r="M300" s="45"/>
      <c r="N300" s="44"/>
    </row>
    <row r="301" customFormat="false" ht="15" hidden="false" customHeight="false" outlineLevel="0" collapsed="false">
      <c r="A301" s="44"/>
      <c r="B301" s="45"/>
      <c r="C301" s="45"/>
      <c r="D301" s="44"/>
      <c r="E301" s="44"/>
      <c r="F301" s="46"/>
      <c r="G301" s="46"/>
      <c r="H301" s="46"/>
      <c r="I301" s="46"/>
      <c r="J301" s="46"/>
      <c r="K301" s="46"/>
      <c r="L301" s="46"/>
      <c r="M301" s="45"/>
      <c r="N301" s="44"/>
    </row>
    <row r="302" customFormat="false" ht="15" hidden="false" customHeight="false" outlineLevel="0" collapsed="false">
      <c r="A302" s="44"/>
      <c r="B302" s="45"/>
      <c r="C302" s="45"/>
      <c r="D302" s="44"/>
      <c r="E302" s="44"/>
      <c r="F302" s="46"/>
      <c r="G302" s="46"/>
      <c r="H302" s="46"/>
      <c r="I302" s="46"/>
      <c r="J302" s="46"/>
      <c r="K302" s="46"/>
      <c r="L302" s="46"/>
      <c r="M302" s="45"/>
      <c r="N302" s="44"/>
    </row>
    <row r="303" customFormat="false" ht="15" hidden="false" customHeight="false" outlineLevel="0" collapsed="false">
      <c r="A303" s="44"/>
      <c r="B303" s="45"/>
      <c r="C303" s="45"/>
      <c r="D303" s="44"/>
      <c r="E303" s="44"/>
      <c r="F303" s="46"/>
      <c r="G303" s="46"/>
      <c r="H303" s="46"/>
      <c r="I303" s="46"/>
      <c r="J303" s="46"/>
      <c r="K303" s="46"/>
      <c r="L303" s="46"/>
      <c r="M303" s="45"/>
      <c r="N303" s="44"/>
    </row>
    <row r="304" customFormat="false" ht="15" hidden="false" customHeight="false" outlineLevel="0" collapsed="false">
      <c r="A304" s="44"/>
      <c r="B304" s="45"/>
      <c r="C304" s="45"/>
      <c r="D304" s="44"/>
      <c r="E304" s="44"/>
      <c r="F304" s="46"/>
      <c r="G304" s="46"/>
      <c r="H304" s="46"/>
      <c r="I304" s="46"/>
      <c r="J304" s="46"/>
      <c r="K304" s="46"/>
      <c r="L304" s="46"/>
      <c r="M304" s="45"/>
      <c r="N304" s="44"/>
    </row>
    <row r="305" customFormat="false" ht="15" hidden="false" customHeight="false" outlineLevel="0" collapsed="false">
      <c r="A305" s="44"/>
      <c r="B305" s="45"/>
      <c r="C305" s="45"/>
      <c r="D305" s="44"/>
      <c r="E305" s="44"/>
      <c r="F305" s="46"/>
      <c r="G305" s="46"/>
      <c r="H305" s="46"/>
      <c r="I305" s="46"/>
      <c r="J305" s="46"/>
      <c r="K305" s="46"/>
      <c r="L305" s="46"/>
      <c r="M305" s="45"/>
      <c r="N305" s="44"/>
    </row>
    <row r="306" customFormat="false" ht="15" hidden="false" customHeight="false" outlineLevel="0" collapsed="false">
      <c r="A306" s="44"/>
      <c r="B306" s="45"/>
      <c r="C306" s="45"/>
      <c r="D306" s="44"/>
      <c r="E306" s="44"/>
      <c r="F306" s="46"/>
      <c r="G306" s="46"/>
      <c r="H306" s="46"/>
      <c r="I306" s="46"/>
      <c r="J306" s="46"/>
      <c r="K306" s="46"/>
      <c r="L306" s="46"/>
      <c r="M306" s="45"/>
      <c r="N306" s="44"/>
    </row>
    <row r="307" customFormat="false" ht="15" hidden="false" customHeight="false" outlineLevel="0" collapsed="false">
      <c r="A307" s="44"/>
      <c r="B307" s="45"/>
      <c r="C307" s="45"/>
      <c r="D307" s="44"/>
      <c r="E307" s="44"/>
      <c r="F307" s="46"/>
      <c r="G307" s="46"/>
      <c r="H307" s="46"/>
      <c r="I307" s="46"/>
      <c r="J307" s="46"/>
      <c r="K307" s="46"/>
      <c r="L307" s="46"/>
      <c r="M307" s="45"/>
      <c r="N307" s="44"/>
    </row>
    <row r="308" customFormat="false" ht="15" hidden="false" customHeight="false" outlineLevel="0" collapsed="false">
      <c r="A308" s="44"/>
      <c r="B308" s="45"/>
      <c r="C308" s="45"/>
      <c r="D308" s="44"/>
      <c r="E308" s="44"/>
      <c r="F308" s="46"/>
      <c r="G308" s="46"/>
      <c r="H308" s="46"/>
      <c r="I308" s="46"/>
      <c r="J308" s="46"/>
      <c r="K308" s="46"/>
      <c r="L308" s="46"/>
      <c r="M308" s="45"/>
      <c r="N308" s="44"/>
    </row>
    <row r="309" customFormat="false" ht="15" hidden="false" customHeight="false" outlineLevel="0" collapsed="false">
      <c r="A309" s="44"/>
      <c r="B309" s="45"/>
      <c r="C309" s="45"/>
      <c r="D309" s="44"/>
      <c r="E309" s="44"/>
      <c r="F309" s="46"/>
      <c r="G309" s="46"/>
      <c r="H309" s="46"/>
      <c r="I309" s="46"/>
      <c r="J309" s="46"/>
      <c r="K309" s="46"/>
      <c r="L309" s="46"/>
      <c r="M309" s="45"/>
      <c r="N309" s="44"/>
    </row>
    <row r="310" customFormat="false" ht="15" hidden="false" customHeight="false" outlineLevel="0" collapsed="false">
      <c r="A310" s="44"/>
      <c r="B310" s="45"/>
      <c r="C310" s="45"/>
      <c r="D310" s="44"/>
      <c r="E310" s="44"/>
      <c r="F310" s="46"/>
      <c r="G310" s="46"/>
      <c r="H310" s="46"/>
      <c r="I310" s="46"/>
      <c r="J310" s="46"/>
      <c r="K310" s="46"/>
      <c r="L310" s="46"/>
      <c r="M310" s="45"/>
      <c r="N310" s="44"/>
    </row>
    <row r="311" customFormat="false" ht="15" hidden="false" customHeight="false" outlineLevel="0" collapsed="false">
      <c r="A311" s="44"/>
      <c r="B311" s="45"/>
      <c r="C311" s="45"/>
      <c r="D311" s="44"/>
      <c r="E311" s="44"/>
      <c r="F311" s="46"/>
      <c r="G311" s="46"/>
      <c r="H311" s="46"/>
      <c r="I311" s="46"/>
      <c r="J311" s="46"/>
      <c r="K311" s="46"/>
      <c r="L311" s="46"/>
      <c r="M311" s="45"/>
      <c r="N311" s="44"/>
    </row>
    <row r="312" customFormat="false" ht="15" hidden="false" customHeight="false" outlineLevel="0" collapsed="false">
      <c r="A312" s="44"/>
      <c r="B312" s="45"/>
      <c r="C312" s="45"/>
      <c r="D312" s="44"/>
      <c r="E312" s="44"/>
      <c r="F312" s="46"/>
      <c r="G312" s="46"/>
      <c r="H312" s="46"/>
      <c r="I312" s="46"/>
      <c r="J312" s="46"/>
      <c r="K312" s="46"/>
      <c r="L312" s="46"/>
      <c r="M312" s="45"/>
      <c r="N312" s="44"/>
    </row>
    <row r="313" customFormat="false" ht="15" hidden="false" customHeight="false" outlineLevel="0" collapsed="false">
      <c r="A313" s="44"/>
      <c r="B313" s="45"/>
      <c r="C313" s="45"/>
      <c r="D313" s="44"/>
      <c r="E313" s="44"/>
      <c r="F313" s="46"/>
      <c r="G313" s="46"/>
      <c r="H313" s="46"/>
      <c r="I313" s="46"/>
      <c r="J313" s="46"/>
      <c r="K313" s="46"/>
      <c r="L313" s="46"/>
      <c r="M313" s="45"/>
      <c r="N313" s="44"/>
    </row>
    <row r="314" customFormat="false" ht="15" hidden="false" customHeight="false" outlineLevel="0" collapsed="false">
      <c r="A314" s="44"/>
      <c r="B314" s="45"/>
      <c r="C314" s="45"/>
      <c r="D314" s="44"/>
      <c r="E314" s="44"/>
      <c r="F314" s="46"/>
      <c r="G314" s="46"/>
      <c r="H314" s="46"/>
      <c r="I314" s="46"/>
      <c r="J314" s="46"/>
      <c r="K314" s="46"/>
      <c r="L314" s="46"/>
      <c r="M314" s="45"/>
      <c r="N314" s="44"/>
    </row>
    <row r="315" customFormat="false" ht="15" hidden="false" customHeight="false" outlineLevel="0" collapsed="false">
      <c r="A315" s="44"/>
      <c r="B315" s="45"/>
      <c r="C315" s="45"/>
      <c r="D315" s="44"/>
      <c r="E315" s="44"/>
      <c r="F315" s="46"/>
      <c r="G315" s="46"/>
      <c r="H315" s="46"/>
      <c r="I315" s="46"/>
      <c r="J315" s="46"/>
      <c r="K315" s="46"/>
      <c r="L315" s="46"/>
      <c r="M315" s="45"/>
      <c r="N315" s="44"/>
    </row>
    <row r="316" customFormat="false" ht="15" hidden="false" customHeight="false" outlineLevel="0" collapsed="false">
      <c r="A316" s="44"/>
      <c r="B316" s="45"/>
      <c r="C316" s="45"/>
      <c r="D316" s="44"/>
      <c r="E316" s="44"/>
      <c r="F316" s="46"/>
      <c r="G316" s="46"/>
      <c r="H316" s="46"/>
      <c r="I316" s="46"/>
      <c r="J316" s="46"/>
      <c r="K316" s="46"/>
      <c r="L316" s="46"/>
      <c r="M316" s="45"/>
      <c r="N316" s="44"/>
    </row>
    <row r="317" customFormat="false" ht="15" hidden="false" customHeight="false" outlineLevel="0" collapsed="false">
      <c r="A317" s="44"/>
      <c r="B317" s="45"/>
      <c r="C317" s="45"/>
      <c r="D317" s="44"/>
      <c r="E317" s="44"/>
      <c r="F317" s="46"/>
      <c r="G317" s="46"/>
      <c r="H317" s="46"/>
      <c r="I317" s="46"/>
      <c r="J317" s="46"/>
      <c r="K317" s="46"/>
      <c r="L317" s="46"/>
      <c r="M317" s="45"/>
      <c r="N317" s="44"/>
    </row>
    <row r="318" customFormat="false" ht="15" hidden="false" customHeight="false" outlineLevel="0" collapsed="false">
      <c r="A318" s="44"/>
      <c r="B318" s="45"/>
      <c r="C318" s="45"/>
      <c r="D318" s="44"/>
      <c r="E318" s="44"/>
      <c r="F318" s="46"/>
      <c r="G318" s="46"/>
      <c r="H318" s="46"/>
      <c r="I318" s="46"/>
      <c r="J318" s="46"/>
      <c r="K318" s="46"/>
      <c r="L318" s="46"/>
      <c r="M318" s="45"/>
      <c r="N318" s="44"/>
    </row>
    <row r="319" customFormat="false" ht="15" hidden="false" customHeight="false" outlineLevel="0" collapsed="false">
      <c r="A319" s="44"/>
      <c r="B319" s="45"/>
      <c r="C319" s="45"/>
      <c r="D319" s="44"/>
      <c r="E319" s="44"/>
      <c r="F319" s="46"/>
      <c r="G319" s="46"/>
      <c r="H319" s="46"/>
      <c r="I319" s="46"/>
      <c r="J319" s="46"/>
      <c r="K319" s="46"/>
      <c r="L319" s="46"/>
      <c r="M319" s="45"/>
      <c r="N319" s="44"/>
    </row>
    <row r="320" customFormat="false" ht="15" hidden="false" customHeight="false" outlineLevel="0" collapsed="false">
      <c r="A320" s="44"/>
      <c r="B320" s="45"/>
      <c r="C320" s="45"/>
      <c r="D320" s="44"/>
      <c r="E320" s="44"/>
      <c r="F320" s="46"/>
      <c r="G320" s="46"/>
      <c r="H320" s="46"/>
      <c r="I320" s="46"/>
      <c r="J320" s="46"/>
      <c r="K320" s="46"/>
      <c r="L320" s="46"/>
      <c r="M320" s="45"/>
      <c r="N320" s="44"/>
    </row>
    <row r="321" customFormat="false" ht="15" hidden="false" customHeight="false" outlineLevel="0" collapsed="false">
      <c r="A321" s="44"/>
      <c r="B321" s="45"/>
      <c r="C321" s="45"/>
      <c r="D321" s="44"/>
      <c r="E321" s="44"/>
      <c r="F321" s="46"/>
      <c r="G321" s="46"/>
      <c r="H321" s="46"/>
      <c r="I321" s="46"/>
      <c r="J321" s="46"/>
      <c r="K321" s="46"/>
      <c r="L321" s="46"/>
      <c r="M321" s="45"/>
      <c r="N321" s="44"/>
    </row>
    <row r="322" customFormat="false" ht="15" hidden="false" customHeight="false" outlineLevel="0" collapsed="false">
      <c r="A322" s="44"/>
      <c r="B322" s="45"/>
      <c r="C322" s="45"/>
      <c r="D322" s="44"/>
      <c r="E322" s="44"/>
      <c r="F322" s="46"/>
      <c r="G322" s="46"/>
      <c r="H322" s="46"/>
      <c r="I322" s="46"/>
      <c r="J322" s="46"/>
      <c r="K322" s="46"/>
      <c r="L322" s="46"/>
      <c r="M322" s="45"/>
      <c r="N322" s="44"/>
    </row>
    <row r="323" customFormat="false" ht="15" hidden="false" customHeight="false" outlineLevel="0" collapsed="false">
      <c r="A323" s="44"/>
      <c r="B323" s="45"/>
      <c r="C323" s="45"/>
      <c r="D323" s="44"/>
      <c r="E323" s="44"/>
      <c r="F323" s="46"/>
      <c r="G323" s="46"/>
      <c r="H323" s="46"/>
      <c r="I323" s="46"/>
      <c r="J323" s="46"/>
      <c r="K323" s="46"/>
      <c r="L323" s="46"/>
      <c r="M323" s="45"/>
      <c r="N323" s="44"/>
    </row>
    <row r="324" customFormat="false" ht="15" hidden="false" customHeight="false" outlineLevel="0" collapsed="false">
      <c r="A324" s="44"/>
      <c r="B324" s="45"/>
      <c r="C324" s="45"/>
      <c r="D324" s="44"/>
      <c r="E324" s="44"/>
      <c r="F324" s="46"/>
      <c r="G324" s="46"/>
      <c r="H324" s="46"/>
      <c r="I324" s="46"/>
      <c r="J324" s="46"/>
      <c r="K324" s="46"/>
      <c r="L324" s="46"/>
      <c r="M324" s="45"/>
      <c r="N324" s="44"/>
    </row>
    <row r="325" customFormat="false" ht="15" hidden="false" customHeight="false" outlineLevel="0" collapsed="false">
      <c r="A325" s="44"/>
      <c r="B325" s="45"/>
      <c r="C325" s="45"/>
      <c r="D325" s="44"/>
      <c r="E325" s="44"/>
      <c r="F325" s="46"/>
      <c r="G325" s="46"/>
      <c r="H325" s="46"/>
      <c r="I325" s="46"/>
      <c r="J325" s="46"/>
      <c r="K325" s="46"/>
      <c r="L325" s="46"/>
      <c r="M325" s="45"/>
      <c r="N325" s="44"/>
    </row>
    <row r="326" customFormat="false" ht="15" hidden="false" customHeight="false" outlineLevel="0" collapsed="false">
      <c r="A326" s="44"/>
      <c r="B326" s="45"/>
      <c r="C326" s="45"/>
      <c r="D326" s="44"/>
      <c r="E326" s="44"/>
      <c r="F326" s="46"/>
      <c r="G326" s="46"/>
      <c r="H326" s="46"/>
      <c r="I326" s="46"/>
      <c r="J326" s="46"/>
      <c r="K326" s="46"/>
      <c r="L326" s="46"/>
      <c r="M326" s="45"/>
      <c r="N326" s="44"/>
    </row>
    <row r="327" customFormat="false" ht="15" hidden="false" customHeight="false" outlineLevel="0" collapsed="false">
      <c r="A327" s="44"/>
      <c r="B327" s="45"/>
      <c r="C327" s="45"/>
      <c r="D327" s="44"/>
      <c r="E327" s="44"/>
      <c r="F327" s="46"/>
      <c r="G327" s="46"/>
      <c r="H327" s="46"/>
      <c r="I327" s="46"/>
      <c r="J327" s="46"/>
      <c r="K327" s="46"/>
      <c r="L327" s="46"/>
      <c r="M327" s="45"/>
      <c r="N327" s="44"/>
    </row>
    <row r="328" customFormat="false" ht="15" hidden="false" customHeight="false" outlineLevel="0" collapsed="false">
      <c r="A328" s="44"/>
      <c r="B328" s="45"/>
      <c r="C328" s="45"/>
      <c r="D328" s="44"/>
      <c r="E328" s="44"/>
      <c r="F328" s="46"/>
      <c r="G328" s="46"/>
      <c r="H328" s="46"/>
      <c r="I328" s="46"/>
      <c r="J328" s="46"/>
      <c r="K328" s="46"/>
      <c r="L328" s="46"/>
      <c r="M328" s="45"/>
      <c r="N328" s="44"/>
    </row>
    <row r="329" customFormat="false" ht="15" hidden="false" customHeight="false" outlineLevel="0" collapsed="false">
      <c r="A329" s="44"/>
      <c r="B329" s="45"/>
      <c r="C329" s="45"/>
      <c r="D329" s="44"/>
      <c r="E329" s="44"/>
      <c r="F329" s="46"/>
      <c r="G329" s="46"/>
      <c r="H329" s="46"/>
      <c r="I329" s="46"/>
      <c r="J329" s="46"/>
      <c r="K329" s="46"/>
      <c r="L329" s="46"/>
      <c r="M329" s="45"/>
      <c r="N329" s="44"/>
    </row>
    <row r="330" customFormat="false" ht="15" hidden="false" customHeight="false" outlineLevel="0" collapsed="false">
      <c r="A330" s="44"/>
      <c r="B330" s="45"/>
      <c r="C330" s="45"/>
      <c r="D330" s="44"/>
      <c r="E330" s="44"/>
      <c r="F330" s="46"/>
      <c r="G330" s="46"/>
      <c r="H330" s="46"/>
      <c r="I330" s="46"/>
      <c r="J330" s="46"/>
      <c r="K330" s="46"/>
      <c r="L330" s="46"/>
      <c r="M330" s="45"/>
      <c r="N330" s="44"/>
    </row>
    <row r="331" customFormat="false" ht="15" hidden="false" customHeight="false" outlineLevel="0" collapsed="false">
      <c r="A331" s="44"/>
      <c r="B331" s="45"/>
      <c r="C331" s="45"/>
      <c r="D331" s="44"/>
      <c r="E331" s="44"/>
      <c r="F331" s="46"/>
      <c r="G331" s="46"/>
      <c r="H331" s="46"/>
      <c r="I331" s="46"/>
      <c r="J331" s="46"/>
      <c r="K331" s="46"/>
      <c r="L331" s="46"/>
      <c r="M331" s="45"/>
      <c r="N331" s="44"/>
    </row>
    <row r="332" customFormat="false" ht="15" hidden="false" customHeight="false" outlineLevel="0" collapsed="false">
      <c r="A332" s="44"/>
      <c r="B332" s="45"/>
      <c r="C332" s="45"/>
      <c r="D332" s="44"/>
      <c r="E332" s="44"/>
      <c r="F332" s="46"/>
      <c r="G332" s="46"/>
      <c r="H332" s="46"/>
      <c r="I332" s="46"/>
      <c r="J332" s="46"/>
      <c r="K332" s="46"/>
      <c r="L332" s="46"/>
      <c r="M332" s="45"/>
      <c r="N332" s="44"/>
    </row>
    <row r="333" customFormat="false" ht="15" hidden="false" customHeight="false" outlineLevel="0" collapsed="false">
      <c r="A333" s="44"/>
      <c r="B333" s="45"/>
      <c r="C333" s="45"/>
      <c r="D333" s="44"/>
      <c r="E333" s="44"/>
      <c r="F333" s="46"/>
      <c r="G333" s="46"/>
      <c r="H333" s="46"/>
      <c r="I333" s="46"/>
      <c r="J333" s="46"/>
      <c r="K333" s="46"/>
      <c r="L333" s="46"/>
      <c r="M333" s="45"/>
      <c r="N333" s="44"/>
    </row>
    <row r="334" customFormat="false" ht="15" hidden="false" customHeight="false" outlineLevel="0" collapsed="false">
      <c r="A334" s="44"/>
      <c r="B334" s="45"/>
      <c r="C334" s="45"/>
      <c r="D334" s="44"/>
      <c r="E334" s="44"/>
      <c r="F334" s="46"/>
      <c r="G334" s="46"/>
      <c r="H334" s="46"/>
      <c r="I334" s="46"/>
      <c r="J334" s="46"/>
      <c r="K334" s="46"/>
      <c r="L334" s="46"/>
      <c r="M334" s="45"/>
      <c r="N334" s="44"/>
    </row>
    <row r="335" customFormat="false" ht="15" hidden="false" customHeight="false" outlineLevel="0" collapsed="false">
      <c r="A335" s="44"/>
      <c r="B335" s="45"/>
      <c r="C335" s="45"/>
      <c r="D335" s="44"/>
      <c r="E335" s="44"/>
      <c r="F335" s="46"/>
      <c r="G335" s="46"/>
      <c r="H335" s="46"/>
      <c r="I335" s="46"/>
      <c r="J335" s="46"/>
      <c r="K335" s="46"/>
      <c r="L335" s="46"/>
      <c r="M335" s="45"/>
      <c r="N335" s="44"/>
    </row>
    <row r="336" customFormat="false" ht="15" hidden="false" customHeight="false" outlineLevel="0" collapsed="false">
      <c r="A336" s="44"/>
      <c r="B336" s="45"/>
      <c r="C336" s="45"/>
      <c r="D336" s="44"/>
      <c r="E336" s="44"/>
      <c r="F336" s="46"/>
      <c r="G336" s="46"/>
      <c r="H336" s="46"/>
      <c r="I336" s="46"/>
      <c r="J336" s="46"/>
      <c r="K336" s="46"/>
      <c r="L336" s="46"/>
      <c r="M336" s="45"/>
      <c r="N336" s="44"/>
    </row>
    <row r="337" customFormat="false" ht="15" hidden="false" customHeight="false" outlineLevel="0" collapsed="false">
      <c r="A337" s="44"/>
      <c r="B337" s="45"/>
      <c r="C337" s="45"/>
      <c r="D337" s="44"/>
      <c r="E337" s="44"/>
      <c r="F337" s="46"/>
      <c r="G337" s="46"/>
      <c r="H337" s="46"/>
      <c r="I337" s="46"/>
      <c r="J337" s="46"/>
      <c r="K337" s="46"/>
      <c r="L337" s="46"/>
      <c r="M337" s="45"/>
      <c r="N337" s="44"/>
    </row>
    <row r="338" customFormat="false" ht="15" hidden="false" customHeight="false" outlineLevel="0" collapsed="false">
      <c r="A338" s="44"/>
      <c r="B338" s="45"/>
      <c r="C338" s="45"/>
      <c r="D338" s="44"/>
      <c r="E338" s="44"/>
      <c r="F338" s="46"/>
      <c r="G338" s="46"/>
      <c r="H338" s="46"/>
      <c r="I338" s="46"/>
      <c r="J338" s="46"/>
      <c r="K338" s="46"/>
      <c r="L338" s="46"/>
      <c r="M338" s="45"/>
      <c r="N338" s="44"/>
    </row>
    <row r="339" customFormat="false" ht="15" hidden="false" customHeight="false" outlineLevel="0" collapsed="false">
      <c r="A339" s="44"/>
      <c r="B339" s="45"/>
      <c r="C339" s="45"/>
      <c r="D339" s="44"/>
      <c r="E339" s="44"/>
      <c r="F339" s="46"/>
      <c r="G339" s="46"/>
      <c r="H339" s="46"/>
      <c r="I339" s="46"/>
      <c r="J339" s="46"/>
      <c r="K339" s="46"/>
      <c r="L339" s="46"/>
      <c r="M339" s="45"/>
      <c r="N339" s="44"/>
    </row>
    <row r="340" customFormat="false" ht="15" hidden="false" customHeight="false" outlineLevel="0" collapsed="false">
      <c r="A340" s="44"/>
      <c r="B340" s="45"/>
      <c r="C340" s="45"/>
      <c r="D340" s="44"/>
      <c r="E340" s="44"/>
      <c r="F340" s="46"/>
      <c r="G340" s="46"/>
      <c r="H340" s="46"/>
      <c r="I340" s="46"/>
      <c r="J340" s="46"/>
      <c r="K340" s="46"/>
      <c r="L340" s="46"/>
      <c r="M340" s="45"/>
      <c r="N340" s="44"/>
    </row>
    <row r="341" customFormat="false" ht="15" hidden="false" customHeight="false" outlineLevel="0" collapsed="false">
      <c r="A341" s="44"/>
      <c r="B341" s="45"/>
      <c r="C341" s="45"/>
      <c r="D341" s="44"/>
      <c r="E341" s="44"/>
      <c r="F341" s="46"/>
      <c r="G341" s="46"/>
      <c r="H341" s="46"/>
      <c r="I341" s="46"/>
      <c r="J341" s="46"/>
      <c r="K341" s="46"/>
      <c r="L341" s="46"/>
      <c r="M341" s="45"/>
      <c r="N341" s="44"/>
    </row>
    <row r="342" customFormat="false" ht="15" hidden="false" customHeight="false" outlineLevel="0" collapsed="false">
      <c r="A342" s="44"/>
      <c r="B342" s="45"/>
      <c r="C342" s="45"/>
      <c r="D342" s="44"/>
      <c r="E342" s="44"/>
      <c r="F342" s="46"/>
      <c r="G342" s="46"/>
      <c r="H342" s="46"/>
      <c r="I342" s="46"/>
      <c r="J342" s="46"/>
      <c r="K342" s="46"/>
      <c r="L342" s="46"/>
      <c r="M342" s="45"/>
      <c r="N342" s="44"/>
    </row>
    <row r="343" customFormat="false" ht="15" hidden="false" customHeight="false" outlineLevel="0" collapsed="false">
      <c r="A343" s="44"/>
      <c r="B343" s="45"/>
      <c r="C343" s="45"/>
      <c r="D343" s="44"/>
      <c r="E343" s="44"/>
      <c r="F343" s="46"/>
      <c r="G343" s="46"/>
      <c r="H343" s="46"/>
      <c r="I343" s="46"/>
      <c r="J343" s="46"/>
      <c r="K343" s="46"/>
      <c r="L343" s="46"/>
      <c r="M343" s="45"/>
      <c r="N343" s="44"/>
    </row>
    <row r="344" customFormat="false" ht="15" hidden="false" customHeight="false" outlineLevel="0" collapsed="false">
      <c r="A344" s="44"/>
      <c r="B344" s="45"/>
      <c r="C344" s="45"/>
      <c r="D344" s="44"/>
      <c r="E344" s="44"/>
      <c r="F344" s="46"/>
      <c r="G344" s="46"/>
      <c r="H344" s="46"/>
      <c r="I344" s="46"/>
      <c r="J344" s="46"/>
      <c r="K344" s="46"/>
      <c r="L344" s="46"/>
      <c r="M344" s="45"/>
      <c r="N344" s="44"/>
    </row>
    <row r="345" customFormat="false" ht="15" hidden="false" customHeight="false" outlineLevel="0" collapsed="false">
      <c r="A345" s="44"/>
      <c r="B345" s="45"/>
      <c r="C345" s="45"/>
      <c r="D345" s="44"/>
      <c r="E345" s="44"/>
      <c r="F345" s="46"/>
      <c r="G345" s="46"/>
      <c r="H345" s="46"/>
      <c r="I345" s="46"/>
      <c r="J345" s="46"/>
      <c r="K345" s="46"/>
      <c r="L345" s="46"/>
      <c r="M345" s="45"/>
      <c r="N345" s="44"/>
    </row>
    <row r="346" customFormat="false" ht="15" hidden="false" customHeight="false" outlineLevel="0" collapsed="false">
      <c r="A346" s="44"/>
      <c r="B346" s="45"/>
      <c r="C346" s="45"/>
      <c r="D346" s="44"/>
      <c r="E346" s="44"/>
      <c r="F346" s="46"/>
      <c r="G346" s="46"/>
      <c r="H346" s="46"/>
      <c r="I346" s="46"/>
      <c r="J346" s="46"/>
      <c r="K346" s="46"/>
      <c r="L346" s="46"/>
      <c r="M346" s="45"/>
      <c r="N346" s="44"/>
    </row>
    <row r="347" customFormat="false" ht="15" hidden="false" customHeight="false" outlineLevel="0" collapsed="false">
      <c r="A347" s="44"/>
      <c r="B347" s="45"/>
      <c r="C347" s="45"/>
      <c r="D347" s="44"/>
      <c r="E347" s="44"/>
      <c r="F347" s="46"/>
      <c r="G347" s="46"/>
      <c r="H347" s="46"/>
      <c r="I347" s="46"/>
      <c r="J347" s="46"/>
      <c r="K347" s="46"/>
      <c r="L347" s="46"/>
      <c r="M347" s="45"/>
      <c r="N347" s="44"/>
    </row>
    <row r="348" customFormat="false" ht="15" hidden="false" customHeight="false" outlineLevel="0" collapsed="false">
      <c r="A348" s="44"/>
      <c r="B348" s="45"/>
      <c r="C348" s="45"/>
      <c r="D348" s="44"/>
      <c r="E348" s="44"/>
      <c r="F348" s="46"/>
      <c r="G348" s="46"/>
      <c r="H348" s="46"/>
      <c r="I348" s="46"/>
      <c r="J348" s="46"/>
      <c r="K348" s="46"/>
      <c r="L348" s="46"/>
      <c r="M348" s="45"/>
      <c r="N348" s="44"/>
    </row>
    <row r="349" customFormat="false" ht="15" hidden="false" customHeight="false" outlineLevel="0" collapsed="false">
      <c r="A349" s="44"/>
      <c r="B349" s="45"/>
      <c r="C349" s="45"/>
      <c r="D349" s="44"/>
      <c r="E349" s="44"/>
      <c r="F349" s="46"/>
      <c r="G349" s="46"/>
      <c r="H349" s="46"/>
      <c r="I349" s="46"/>
      <c r="J349" s="46"/>
      <c r="K349" s="46"/>
      <c r="L349" s="46"/>
      <c r="M349" s="45"/>
      <c r="N349" s="44"/>
    </row>
    <row r="350" customFormat="false" ht="15" hidden="false" customHeight="false" outlineLevel="0" collapsed="false">
      <c r="A350" s="44"/>
      <c r="B350" s="45"/>
      <c r="C350" s="45"/>
      <c r="D350" s="44"/>
      <c r="E350" s="44"/>
      <c r="F350" s="46"/>
      <c r="G350" s="46"/>
      <c r="H350" s="46"/>
      <c r="I350" s="46"/>
      <c r="J350" s="46"/>
      <c r="K350" s="46"/>
      <c r="L350" s="46"/>
      <c r="M350" s="45"/>
      <c r="N350" s="44"/>
    </row>
    <row r="351" customFormat="false" ht="15" hidden="false" customHeight="false" outlineLevel="0" collapsed="false">
      <c r="A351" s="44"/>
      <c r="B351" s="45"/>
      <c r="C351" s="45"/>
      <c r="D351" s="44"/>
      <c r="E351" s="44"/>
      <c r="F351" s="46"/>
      <c r="G351" s="46"/>
      <c r="H351" s="46"/>
      <c r="I351" s="46"/>
      <c r="J351" s="46"/>
      <c r="K351" s="46"/>
      <c r="L351" s="46"/>
      <c r="M351" s="45"/>
      <c r="N351" s="44"/>
    </row>
    <row r="352" customFormat="false" ht="15" hidden="false" customHeight="false" outlineLevel="0" collapsed="false">
      <c r="A352" s="44"/>
      <c r="B352" s="45"/>
      <c r="C352" s="45"/>
      <c r="D352" s="44"/>
      <c r="E352" s="44"/>
      <c r="F352" s="46"/>
      <c r="G352" s="46"/>
      <c r="H352" s="46"/>
      <c r="I352" s="46"/>
      <c r="J352" s="46"/>
      <c r="K352" s="46"/>
      <c r="L352" s="46"/>
      <c r="M352" s="45"/>
      <c r="N352" s="44"/>
    </row>
    <row r="353" customFormat="false" ht="15" hidden="false" customHeight="false" outlineLevel="0" collapsed="false">
      <c r="A353" s="44"/>
      <c r="B353" s="45"/>
      <c r="C353" s="45"/>
      <c r="D353" s="44"/>
      <c r="E353" s="44"/>
      <c r="F353" s="46"/>
      <c r="G353" s="46"/>
      <c r="H353" s="46"/>
      <c r="I353" s="46"/>
      <c r="J353" s="46"/>
      <c r="K353" s="46"/>
      <c r="L353" s="46"/>
      <c r="M353" s="45"/>
      <c r="N353" s="44"/>
    </row>
    <row r="354" customFormat="false" ht="15" hidden="false" customHeight="false" outlineLevel="0" collapsed="false">
      <c r="A354" s="44"/>
      <c r="B354" s="45"/>
      <c r="C354" s="45"/>
      <c r="D354" s="44"/>
      <c r="E354" s="44"/>
      <c r="F354" s="46"/>
      <c r="G354" s="46"/>
      <c r="H354" s="46"/>
      <c r="I354" s="46"/>
      <c r="J354" s="46"/>
      <c r="K354" s="46"/>
      <c r="L354" s="46"/>
      <c r="M354" s="45"/>
      <c r="N354" s="44"/>
    </row>
    <row r="355" customFormat="false" ht="15" hidden="false" customHeight="false" outlineLevel="0" collapsed="false">
      <c r="A355" s="44"/>
      <c r="B355" s="45"/>
      <c r="C355" s="45"/>
      <c r="D355" s="44"/>
      <c r="E355" s="44"/>
      <c r="F355" s="46"/>
      <c r="G355" s="46"/>
      <c r="H355" s="46"/>
      <c r="I355" s="46"/>
      <c r="J355" s="46"/>
      <c r="K355" s="46"/>
      <c r="L355" s="46"/>
      <c r="M355" s="45"/>
      <c r="N355" s="44"/>
    </row>
    <row r="356" customFormat="false" ht="15" hidden="false" customHeight="false" outlineLevel="0" collapsed="false">
      <c r="A356" s="44"/>
      <c r="B356" s="45"/>
      <c r="C356" s="45"/>
      <c r="D356" s="44"/>
      <c r="E356" s="44"/>
      <c r="F356" s="46"/>
      <c r="G356" s="46"/>
      <c r="H356" s="46"/>
      <c r="I356" s="46"/>
      <c r="J356" s="46"/>
      <c r="K356" s="46"/>
      <c r="L356" s="46"/>
      <c r="M356" s="45"/>
      <c r="N356" s="44"/>
    </row>
    <row r="357" customFormat="false" ht="15" hidden="false" customHeight="false" outlineLevel="0" collapsed="false">
      <c r="A357" s="44"/>
      <c r="B357" s="45"/>
      <c r="C357" s="45"/>
      <c r="D357" s="44"/>
      <c r="E357" s="44"/>
      <c r="F357" s="46"/>
      <c r="G357" s="46"/>
      <c r="H357" s="46"/>
      <c r="I357" s="46"/>
      <c r="J357" s="46"/>
      <c r="K357" s="46"/>
      <c r="L357" s="46"/>
      <c r="M357" s="45"/>
      <c r="N357" s="44"/>
    </row>
    <row r="358" customFormat="false" ht="15" hidden="false" customHeight="false" outlineLevel="0" collapsed="false">
      <c r="A358" s="44"/>
      <c r="B358" s="45"/>
      <c r="C358" s="45"/>
      <c r="D358" s="44"/>
      <c r="E358" s="44"/>
      <c r="F358" s="46"/>
      <c r="G358" s="46"/>
      <c r="H358" s="46"/>
      <c r="I358" s="46"/>
      <c r="J358" s="46"/>
      <c r="K358" s="46"/>
      <c r="L358" s="46"/>
      <c r="M358" s="45"/>
      <c r="N358" s="44"/>
    </row>
    <row r="359" customFormat="false" ht="15" hidden="false" customHeight="false" outlineLevel="0" collapsed="false">
      <c r="A359" s="44"/>
      <c r="B359" s="45"/>
      <c r="C359" s="45"/>
      <c r="D359" s="44"/>
      <c r="E359" s="44"/>
      <c r="F359" s="46"/>
      <c r="G359" s="46"/>
      <c r="H359" s="46"/>
      <c r="I359" s="46"/>
      <c r="J359" s="46"/>
      <c r="K359" s="46"/>
      <c r="L359" s="46"/>
      <c r="M359" s="45"/>
      <c r="N359" s="44"/>
    </row>
    <row r="360" customFormat="false" ht="15" hidden="false" customHeight="false" outlineLevel="0" collapsed="false">
      <c r="A360" s="44"/>
      <c r="B360" s="45"/>
      <c r="C360" s="45"/>
      <c r="D360" s="44"/>
      <c r="E360" s="44"/>
      <c r="F360" s="46"/>
      <c r="G360" s="46"/>
      <c r="H360" s="46"/>
      <c r="I360" s="46"/>
      <c r="J360" s="46"/>
      <c r="K360" s="46"/>
      <c r="L360" s="46"/>
      <c r="M360" s="45"/>
      <c r="N360" s="44"/>
    </row>
    <row r="361" customFormat="false" ht="15" hidden="false" customHeight="false" outlineLevel="0" collapsed="false">
      <c r="A361" s="44"/>
      <c r="B361" s="45"/>
      <c r="C361" s="45"/>
      <c r="D361" s="44"/>
      <c r="E361" s="44"/>
      <c r="F361" s="46"/>
      <c r="G361" s="46"/>
      <c r="H361" s="46"/>
      <c r="I361" s="46"/>
      <c r="J361" s="46"/>
      <c r="K361" s="46"/>
      <c r="L361" s="46"/>
      <c r="M361" s="45"/>
      <c r="N361" s="44"/>
    </row>
    <row r="362" customFormat="false" ht="15" hidden="false" customHeight="false" outlineLevel="0" collapsed="false">
      <c r="A362" s="44"/>
      <c r="B362" s="45"/>
      <c r="C362" s="45"/>
      <c r="D362" s="44"/>
      <c r="E362" s="44"/>
      <c r="F362" s="46"/>
      <c r="G362" s="46"/>
      <c r="H362" s="46"/>
      <c r="I362" s="46"/>
      <c r="J362" s="46"/>
      <c r="K362" s="46"/>
      <c r="L362" s="46"/>
      <c r="M362" s="45"/>
      <c r="N362" s="44"/>
    </row>
    <row r="363" customFormat="false" ht="15" hidden="false" customHeight="false" outlineLevel="0" collapsed="false">
      <c r="A363" s="44"/>
      <c r="B363" s="45"/>
      <c r="C363" s="45"/>
      <c r="D363" s="44"/>
      <c r="E363" s="44"/>
      <c r="F363" s="46"/>
      <c r="G363" s="46"/>
      <c r="H363" s="46"/>
      <c r="I363" s="46"/>
      <c r="J363" s="46"/>
      <c r="K363" s="46"/>
      <c r="L363" s="46"/>
      <c r="M363" s="45"/>
      <c r="N363" s="44"/>
    </row>
    <row r="364" customFormat="false" ht="15" hidden="false" customHeight="false" outlineLevel="0" collapsed="false">
      <c r="A364" s="44"/>
      <c r="B364" s="45"/>
      <c r="C364" s="45"/>
      <c r="D364" s="44"/>
      <c r="E364" s="44"/>
      <c r="F364" s="46"/>
      <c r="G364" s="46"/>
      <c r="H364" s="46"/>
      <c r="I364" s="46"/>
      <c r="J364" s="46"/>
      <c r="K364" s="46"/>
      <c r="L364" s="46"/>
      <c r="M364" s="45"/>
      <c r="N364" s="44"/>
    </row>
    <row r="365" customFormat="false" ht="15" hidden="false" customHeight="false" outlineLevel="0" collapsed="false">
      <c r="A365" s="44"/>
      <c r="B365" s="45"/>
      <c r="C365" s="45"/>
      <c r="D365" s="44"/>
      <c r="E365" s="44"/>
      <c r="F365" s="46"/>
      <c r="G365" s="46"/>
      <c r="H365" s="46"/>
      <c r="I365" s="46"/>
      <c r="J365" s="46"/>
      <c r="K365" s="46"/>
      <c r="L365" s="46"/>
      <c r="M365" s="45"/>
      <c r="N365" s="44"/>
    </row>
    <row r="366" customFormat="false" ht="15" hidden="false" customHeight="false" outlineLevel="0" collapsed="false">
      <c r="A366" s="44"/>
      <c r="B366" s="45"/>
      <c r="C366" s="45"/>
      <c r="D366" s="44"/>
      <c r="E366" s="44"/>
      <c r="F366" s="46"/>
      <c r="G366" s="46"/>
      <c r="H366" s="46"/>
      <c r="I366" s="46"/>
      <c r="J366" s="46"/>
      <c r="K366" s="46"/>
      <c r="L366" s="46"/>
      <c r="M366" s="45"/>
      <c r="N366" s="44"/>
    </row>
    <row r="367" customFormat="false" ht="15" hidden="false" customHeight="false" outlineLevel="0" collapsed="false">
      <c r="A367" s="44"/>
      <c r="B367" s="45"/>
      <c r="C367" s="45"/>
      <c r="D367" s="44"/>
      <c r="E367" s="44"/>
      <c r="F367" s="46"/>
      <c r="G367" s="46"/>
      <c r="H367" s="46"/>
      <c r="I367" s="46"/>
      <c r="J367" s="46"/>
      <c r="K367" s="46"/>
      <c r="L367" s="46"/>
      <c r="M367" s="45"/>
      <c r="N367" s="44"/>
    </row>
    <row r="368" customFormat="false" ht="15" hidden="false" customHeight="false" outlineLevel="0" collapsed="false">
      <c r="A368" s="44"/>
      <c r="B368" s="45"/>
      <c r="C368" s="45"/>
      <c r="D368" s="44"/>
      <c r="E368" s="44"/>
      <c r="F368" s="46"/>
      <c r="G368" s="46"/>
      <c r="H368" s="46"/>
      <c r="I368" s="46"/>
      <c r="J368" s="46"/>
      <c r="K368" s="46"/>
      <c r="L368" s="46"/>
      <c r="M368" s="45"/>
      <c r="N368" s="44"/>
    </row>
    <row r="369" customFormat="false" ht="15" hidden="false" customHeight="false" outlineLevel="0" collapsed="false">
      <c r="A369" s="44"/>
      <c r="B369" s="45"/>
      <c r="C369" s="45"/>
      <c r="D369" s="44"/>
      <c r="E369" s="44"/>
      <c r="F369" s="46"/>
      <c r="G369" s="46"/>
      <c r="H369" s="46"/>
      <c r="I369" s="46"/>
      <c r="J369" s="46"/>
      <c r="K369" s="46"/>
      <c r="L369" s="46"/>
      <c r="M369" s="45"/>
      <c r="N369" s="44"/>
    </row>
    <row r="370" customFormat="false" ht="15" hidden="false" customHeight="false" outlineLevel="0" collapsed="false">
      <c r="A370" s="44"/>
      <c r="B370" s="45"/>
      <c r="C370" s="45"/>
      <c r="D370" s="44"/>
      <c r="E370" s="44"/>
      <c r="F370" s="46"/>
      <c r="G370" s="46"/>
      <c r="H370" s="46"/>
      <c r="I370" s="46"/>
      <c r="J370" s="46"/>
      <c r="K370" s="46"/>
      <c r="L370" s="46"/>
      <c r="M370" s="45"/>
      <c r="N370" s="44"/>
    </row>
    <row r="371" customFormat="false" ht="15" hidden="false" customHeight="false" outlineLevel="0" collapsed="false">
      <c r="A371" s="44"/>
      <c r="B371" s="45"/>
      <c r="C371" s="45"/>
      <c r="D371" s="44"/>
      <c r="E371" s="44"/>
      <c r="F371" s="46"/>
      <c r="G371" s="46"/>
      <c r="H371" s="46"/>
      <c r="I371" s="46"/>
      <c r="J371" s="46"/>
      <c r="K371" s="46"/>
      <c r="L371" s="46"/>
      <c r="M371" s="45"/>
      <c r="N371" s="44"/>
    </row>
    <row r="372" customFormat="false" ht="15" hidden="false" customHeight="false" outlineLevel="0" collapsed="false">
      <c r="A372" s="44"/>
      <c r="B372" s="45"/>
      <c r="C372" s="45"/>
      <c r="D372" s="44"/>
      <c r="E372" s="44"/>
      <c r="F372" s="46"/>
      <c r="G372" s="46"/>
      <c r="H372" s="46"/>
      <c r="I372" s="46"/>
      <c r="J372" s="46"/>
      <c r="K372" s="46"/>
      <c r="L372" s="46"/>
      <c r="M372" s="45"/>
      <c r="N372" s="44"/>
    </row>
    <row r="373" customFormat="false" ht="15" hidden="false" customHeight="false" outlineLevel="0" collapsed="false">
      <c r="A373" s="44"/>
      <c r="B373" s="45"/>
      <c r="C373" s="45"/>
      <c r="D373" s="44"/>
      <c r="E373" s="44"/>
      <c r="F373" s="46"/>
      <c r="G373" s="46"/>
      <c r="H373" s="46"/>
      <c r="I373" s="46"/>
      <c r="J373" s="46"/>
      <c r="K373" s="46"/>
      <c r="L373" s="46"/>
      <c r="M373" s="45"/>
      <c r="N373" s="44"/>
    </row>
    <row r="374" customFormat="false" ht="15" hidden="false" customHeight="false" outlineLevel="0" collapsed="false">
      <c r="A374" s="44"/>
      <c r="B374" s="45"/>
      <c r="C374" s="45"/>
      <c r="D374" s="44"/>
      <c r="E374" s="44"/>
      <c r="F374" s="46"/>
      <c r="G374" s="46"/>
      <c r="H374" s="46"/>
      <c r="I374" s="46"/>
      <c r="J374" s="46"/>
      <c r="K374" s="46"/>
      <c r="L374" s="46"/>
      <c r="M374" s="45"/>
      <c r="N374" s="44"/>
    </row>
    <row r="375" customFormat="false" ht="15" hidden="false" customHeight="false" outlineLevel="0" collapsed="false">
      <c r="A375" s="44"/>
      <c r="B375" s="45"/>
      <c r="C375" s="45"/>
      <c r="D375" s="44"/>
      <c r="E375" s="44"/>
      <c r="F375" s="46"/>
      <c r="G375" s="46"/>
      <c r="H375" s="46"/>
      <c r="I375" s="46"/>
      <c r="J375" s="46"/>
      <c r="K375" s="46"/>
      <c r="L375" s="46"/>
      <c r="M375" s="45"/>
      <c r="N375" s="44"/>
    </row>
    <row r="376" customFormat="false" ht="15" hidden="false" customHeight="false" outlineLevel="0" collapsed="false">
      <c r="A376" s="44"/>
      <c r="B376" s="45"/>
      <c r="C376" s="45"/>
      <c r="D376" s="44"/>
      <c r="E376" s="44"/>
      <c r="F376" s="46"/>
      <c r="G376" s="46"/>
      <c r="H376" s="46"/>
      <c r="I376" s="46"/>
      <c r="J376" s="46"/>
      <c r="K376" s="46"/>
      <c r="L376" s="46"/>
      <c r="M376" s="45"/>
      <c r="N376" s="44"/>
    </row>
    <row r="377" customFormat="false" ht="15" hidden="false" customHeight="false" outlineLevel="0" collapsed="false">
      <c r="A377" s="44"/>
      <c r="B377" s="45"/>
      <c r="C377" s="45"/>
      <c r="D377" s="44"/>
      <c r="E377" s="44"/>
      <c r="F377" s="46"/>
      <c r="G377" s="46"/>
      <c r="H377" s="46"/>
      <c r="I377" s="46"/>
      <c r="J377" s="46"/>
      <c r="K377" s="46"/>
      <c r="L377" s="46"/>
      <c r="M377" s="45"/>
      <c r="N377" s="44"/>
    </row>
    <row r="378" customFormat="false" ht="15" hidden="false" customHeight="false" outlineLevel="0" collapsed="false">
      <c r="A378" s="44"/>
      <c r="B378" s="45"/>
      <c r="C378" s="45"/>
      <c r="D378" s="44"/>
      <c r="E378" s="44"/>
      <c r="F378" s="46"/>
      <c r="G378" s="46"/>
      <c r="H378" s="46"/>
      <c r="I378" s="46"/>
      <c r="J378" s="46"/>
      <c r="K378" s="46"/>
      <c r="L378" s="46"/>
      <c r="M378" s="45"/>
      <c r="N378" s="44"/>
    </row>
    <row r="379" customFormat="false" ht="15" hidden="false" customHeight="false" outlineLevel="0" collapsed="false">
      <c r="A379" s="44"/>
      <c r="B379" s="45"/>
      <c r="C379" s="45"/>
      <c r="D379" s="44"/>
      <c r="E379" s="44"/>
      <c r="F379" s="46"/>
      <c r="G379" s="46"/>
      <c r="H379" s="46"/>
      <c r="I379" s="46"/>
      <c r="J379" s="46"/>
      <c r="K379" s="46"/>
      <c r="L379" s="46"/>
      <c r="M379" s="45"/>
      <c r="N379" s="44"/>
    </row>
    <row r="380" customFormat="false" ht="15" hidden="false" customHeight="false" outlineLevel="0" collapsed="false">
      <c r="A380" s="44"/>
      <c r="B380" s="45"/>
      <c r="C380" s="45"/>
      <c r="D380" s="44"/>
      <c r="E380" s="44"/>
      <c r="F380" s="46"/>
      <c r="G380" s="46"/>
      <c r="H380" s="46"/>
      <c r="I380" s="46"/>
      <c r="J380" s="46"/>
      <c r="K380" s="46"/>
      <c r="L380" s="46"/>
      <c r="M380" s="45"/>
      <c r="N380" s="44"/>
    </row>
    <row r="381" customFormat="false" ht="15" hidden="false" customHeight="false" outlineLevel="0" collapsed="false">
      <c r="A381" s="44"/>
      <c r="B381" s="45"/>
      <c r="C381" s="45"/>
      <c r="D381" s="44"/>
      <c r="E381" s="44"/>
      <c r="F381" s="46"/>
      <c r="G381" s="46"/>
      <c r="H381" s="46"/>
      <c r="I381" s="46"/>
      <c r="J381" s="46"/>
      <c r="K381" s="46"/>
      <c r="L381" s="46"/>
      <c r="M381" s="45"/>
      <c r="N381" s="44"/>
    </row>
    <row r="382" customFormat="false" ht="15" hidden="false" customHeight="false" outlineLevel="0" collapsed="false">
      <c r="A382" s="44"/>
      <c r="B382" s="45"/>
      <c r="C382" s="45"/>
      <c r="D382" s="44"/>
      <c r="E382" s="44"/>
      <c r="F382" s="46"/>
      <c r="G382" s="46"/>
      <c r="H382" s="46"/>
      <c r="I382" s="46"/>
      <c r="J382" s="46"/>
      <c r="K382" s="46"/>
      <c r="L382" s="46"/>
      <c r="M382" s="45"/>
      <c r="N382" s="44"/>
    </row>
    <row r="383" customFormat="false" ht="15" hidden="false" customHeight="false" outlineLevel="0" collapsed="false">
      <c r="A383" s="44"/>
      <c r="B383" s="45"/>
      <c r="C383" s="45"/>
      <c r="D383" s="44"/>
      <c r="E383" s="44"/>
      <c r="F383" s="46"/>
      <c r="G383" s="46"/>
      <c r="H383" s="46"/>
      <c r="I383" s="46"/>
      <c r="J383" s="46"/>
      <c r="K383" s="46"/>
      <c r="L383" s="46"/>
      <c r="M383" s="45"/>
      <c r="N383" s="44"/>
    </row>
    <row r="384" customFormat="false" ht="15" hidden="false" customHeight="false" outlineLevel="0" collapsed="false">
      <c r="A384" s="44"/>
      <c r="B384" s="45"/>
      <c r="C384" s="45"/>
      <c r="D384" s="44"/>
      <c r="E384" s="44"/>
      <c r="F384" s="46"/>
      <c r="G384" s="46"/>
      <c r="H384" s="46"/>
      <c r="I384" s="46"/>
      <c r="J384" s="46"/>
      <c r="K384" s="46"/>
      <c r="L384" s="46"/>
      <c r="M384" s="45"/>
      <c r="N384" s="44"/>
    </row>
    <row r="385" customFormat="false" ht="15" hidden="false" customHeight="false" outlineLevel="0" collapsed="false">
      <c r="A385" s="44"/>
      <c r="B385" s="45"/>
      <c r="C385" s="45"/>
      <c r="D385" s="44"/>
      <c r="E385" s="44"/>
      <c r="F385" s="46"/>
      <c r="G385" s="46"/>
      <c r="H385" s="46"/>
      <c r="I385" s="46"/>
      <c r="J385" s="46"/>
      <c r="K385" s="46"/>
      <c r="L385" s="46"/>
      <c r="M385" s="45"/>
      <c r="N385" s="44"/>
    </row>
    <row r="386" customFormat="false" ht="15" hidden="false" customHeight="false" outlineLevel="0" collapsed="false">
      <c r="A386" s="44"/>
      <c r="B386" s="45"/>
      <c r="C386" s="45"/>
      <c r="D386" s="44"/>
      <c r="E386" s="44"/>
      <c r="F386" s="46"/>
      <c r="G386" s="46"/>
      <c r="H386" s="46"/>
      <c r="I386" s="46"/>
      <c r="J386" s="46"/>
      <c r="K386" s="46"/>
      <c r="L386" s="46"/>
      <c r="M386" s="45"/>
      <c r="N386" s="44"/>
    </row>
    <row r="387" customFormat="false" ht="15" hidden="false" customHeight="false" outlineLevel="0" collapsed="false">
      <c r="A387" s="44"/>
      <c r="B387" s="45"/>
      <c r="C387" s="45"/>
      <c r="D387" s="44"/>
      <c r="E387" s="44"/>
      <c r="F387" s="46"/>
      <c r="G387" s="46"/>
      <c r="H387" s="46"/>
      <c r="I387" s="46"/>
      <c r="J387" s="46"/>
      <c r="K387" s="46"/>
      <c r="L387" s="46"/>
      <c r="M387" s="45"/>
      <c r="N387" s="44"/>
    </row>
    <row r="388" customFormat="false" ht="15" hidden="false" customHeight="false" outlineLevel="0" collapsed="false">
      <c r="A388" s="44"/>
      <c r="B388" s="45"/>
      <c r="C388" s="45"/>
      <c r="D388" s="44"/>
      <c r="E388" s="44"/>
      <c r="F388" s="46"/>
      <c r="G388" s="46"/>
      <c r="H388" s="46"/>
      <c r="I388" s="46"/>
      <c r="J388" s="46"/>
      <c r="K388" s="46"/>
      <c r="L388" s="46"/>
      <c r="M388" s="45"/>
      <c r="N388" s="44"/>
    </row>
    <row r="389" customFormat="false" ht="15" hidden="false" customHeight="false" outlineLevel="0" collapsed="false">
      <c r="A389" s="44"/>
      <c r="B389" s="45"/>
      <c r="C389" s="45"/>
      <c r="D389" s="44"/>
      <c r="E389" s="44"/>
      <c r="F389" s="46"/>
      <c r="G389" s="46"/>
      <c r="H389" s="46"/>
      <c r="I389" s="46"/>
      <c r="J389" s="46"/>
      <c r="K389" s="46"/>
      <c r="L389" s="46"/>
      <c r="M389" s="45"/>
      <c r="N389" s="44"/>
    </row>
    <row r="390" customFormat="false" ht="15" hidden="false" customHeight="false" outlineLevel="0" collapsed="false">
      <c r="A390" s="44"/>
      <c r="B390" s="45"/>
      <c r="C390" s="45"/>
      <c r="D390" s="44"/>
      <c r="E390" s="44"/>
      <c r="F390" s="46"/>
      <c r="G390" s="46"/>
      <c r="H390" s="46"/>
      <c r="I390" s="46"/>
      <c r="J390" s="46"/>
      <c r="K390" s="46"/>
      <c r="L390" s="46"/>
      <c r="M390" s="45"/>
      <c r="N390" s="44"/>
    </row>
    <row r="391" customFormat="false" ht="15" hidden="false" customHeight="false" outlineLevel="0" collapsed="false">
      <c r="A391" s="44"/>
      <c r="B391" s="45"/>
      <c r="C391" s="45"/>
      <c r="D391" s="44"/>
      <c r="E391" s="44"/>
      <c r="F391" s="46"/>
      <c r="G391" s="46"/>
      <c r="H391" s="46"/>
      <c r="I391" s="46"/>
      <c r="J391" s="46"/>
      <c r="K391" s="46"/>
      <c r="L391" s="46"/>
      <c r="M391" s="45"/>
      <c r="N391" s="44"/>
    </row>
    <row r="392" customFormat="false" ht="15" hidden="false" customHeight="false" outlineLevel="0" collapsed="false">
      <c r="A392" s="44"/>
      <c r="B392" s="45"/>
      <c r="C392" s="45"/>
      <c r="D392" s="44"/>
      <c r="E392" s="44"/>
      <c r="F392" s="46"/>
      <c r="G392" s="46"/>
      <c r="H392" s="46"/>
      <c r="I392" s="46"/>
      <c r="J392" s="46"/>
      <c r="K392" s="46"/>
      <c r="L392" s="46"/>
      <c r="M392" s="45"/>
      <c r="N392" s="44"/>
    </row>
    <row r="393" customFormat="false" ht="15" hidden="false" customHeight="false" outlineLevel="0" collapsed="false">
      <c r="A393" s="44"/>
      <c r="B393" s="45"/>
      <c r="C393" s="45"/>
      <c r="D393" s="44"/>
      <c r="E393" s="44"/>
      <c r="F393" s="46"/>
      <c r="G393" s="46"/>
      <c r="H393" s="46"/>
      <c r="I393" s="46"/>
      <c r="J393" s="46"/>
      <c r="K393" s="46"/>
      <c r="L393" s="46"/>
      <c r="M393" s="45"/>
      <c r="N393" s="44"/>
    </row>
    <row r="394" customFormat="false" ht="15" hidden="false" customHeight="false" outlineLevel="0" collapsed="false">
      <c r="A394" s="44"/>
      <c r="B394" s="45"/>
      <c r="C394" s="45"/>
      <c r="D394" s="44"/>
      <c r="E394" s="44"/>
      <c r="F394" s="46"/>
      <c r="G394" s="46"/>
      <c r="H394" s="46"/>
      <c r="I394" s="46"/>
      <c r="J394" s="46"/>
      <c r="K394" s="46"/>
      <c r="L394" s="46"/>
      <c r="M394" s="45"/>
      <c r="N394" s="44"/>
    </row>
    <row r="395" customFormat="false" ht="15" hidden="false" customHeight="false" outlineLevel="0" collapsed="false">
      <c r="A395" s="44"/>
      <c r="B395" s="45"/>
      <c r="C395" s="45"/>
      <c r="D395" s="44"/>
      <c r="E395" s="44"/>
      <c r="F395" s="46"/>
      <c r="G395" s="46"/>
      <c r="H395" s="46"/>
      <c r="I395" s="46"/>
      <c r="J395" s="46"/>
      <c r="K395" s="46"/>
      <c r="L395" s="46"/>
      <c r="M395" s="45"/>
      <c r="N395" s="44"/>
    </row>
    <row r="396" customFormat="false" ht="15" hidden="false" customHeight="false" outlineLevel="0" collapsed="false">
      <c r="A396" s="44"/>
      <c r="B396" s="45"/>
      <c r="C396" s="45"/>
      <c r="D396" s="44"/>
      <c r="E396" s="44"/>
      <c r="F396" s="46"/>
      <c r="G396" s="46"/>
      <c r="H396" s="46"/>
      <c r="I396" s="46"/>
      <c r="J396" s="46"/>
      <c r="K396" s="46"/>
      <c r="L396" s="46"/>
      <c r="M396" s="45"/>
      <c r="N396" s="44"/>
    </row>
    <row r="397" customFormat="false" ht="15" hidden="false" customHeight="false" outlineLevel="0" collapsed="false">
      <c r="A397" s="44"/>
      <c r="B397" s="45"/>
      <c r="C397" s="45"/>
      <c r="D397" s="44"/>
      <c r="E397" s="44"/>
      <c r="F397" s="46"/>
      <c r="G397" s="46"/>
      <c r="H397" s="46"/>
      <c r="I397" s="46"/>
      <c r="J397" s="46"/>
      <c r="K397" s="46"/>
      <c r="L397" s="46"/>
      <c r="M397" s="45"/>
      <c r="N397" s="44"/>
    </row>
    <row r="398" customFormat="false" ht="15" hidden="false" customHeight="false" outlineLevel="0" collapsed="false">
      <c r="A398" s="44"/>
      <c r="B398" s="45"/>
      <c r="C398" s="45"/>
      <c r="D398" s="44"/>
      <c r="E398" s="44"/>
      <c r="F398" s="46"/>
      <c r="G398" s="46"/>
      <c r="H398" s="46"/>
      <c r="I398" s="46"/>
      <c r="J398" s="46"/>
      <c r="K398" s="46"/>
      <c r="L398" s="46"/>
      <c r="M398" s="45"/>
      <c r="N398" s="44"/>
    </row>
    <row r="399" customFormat="false" ht="15" hidden="false" customHeight="false" outlineLevel="0" collapsed="false">
      <c r="A399" s="44"/>
      <c r="B399" s="45"/>
      <c r="C399" s="45"/>
      <c r="D399" s="44"/>
      <c r="E399" s="44"/>
      <c r="F399" s="46"/>
      <c r="G399" s="46"/>
      <c r="H399" s="46"/>
      <c r="I399" s="46"/>
      <c r="J399" s="46"/>
      <c r="K399" s="46"/>
      <c r="L399" s="46"/>
      <c r="M399" s="45"/>
      <c r="N399" s="44"/>
    </row>
    <row r="400" customFormat="false" ht="15" hidden="false" customHeight="false" outlineLevel="0" collapsed="false">
      <c r="A400" s="44"/>
      <c r="B400" s="45"/>
      <c r="C400" s="45"/>
      <c r="D400" s="44"/>
      <c r="E400" s="44"/>
      <c r="F400" s="46"/>
      <c r="G400" s="46"/>
      <c r="H400" s="46"/>
      <c r="I400" s="46"/>
      <c r="J400" s="46"/>
      <c r="K400" s="46"/>
      <c r="L400" s="46"/>
      <c r="M400" s="45"/>
      <c r="N400" s="44"/>
    </row>
    <row r="401" customFormat="false" ht="15" hidden="false" customHeight="false" outlineLevel="0" collapsed="false">
      <c r="A401" s="44"/>
      <c r="B401" s="45"/>
      <c r="C401" s="45"/>
      <c r="D401" s="44"/>
      <c r="E401" s="44"/>
      <c r="F401" s="46"/>
      <c r="G401" s="46"/>
      <c r="H401" s="46"/>
      <c r="I401" s="46"/>
      <c r="J401" s="46"/>
      <c r="K401" s="46"/>
      <c r="L401" s="46"/>
      <c r="M401" s="45"/>
      <c r="N401" s="44"/>
    </row>
    <row r="402" customFormat="false" ht="15" hidden="false" customHeight="false" outlineLevel="0" collapsed="false">
      <c r="A402" s="44"/>
      <c r="B402" s="45"/>
      <c r="C402" s="45"/>
      <c r="D402" s="44"/>
      <c r="E402" s="44"/>
      <c r="F402" s="46"/>
      <c r="G402" s="46"/>
      <c r="H402" s="46"/>
      <c r="I402" s="46"/>
      <c r="J402" s="46"/>
      <c r="K402" s="46"/>
      <c r="L402" s="46"/>
      <c r="M402" s="45"/>
      <c r="N402" s="44"/>
    </row>
    <row r="403" customFormat="false" ht="15" hidden="false" customHeight="false" outlineLevel="0" collapsed="false">
      <c r="A403" s="44"/>
      <c r="B403" s="45"/>
      <c r="C403" s="45"/>
      <c r="D403" s="44"/>
      <c r="E403" s="44"/>
      <c r="F403" s="46"/>
      <c r="G403" s="46"/>
      <c r="H403" s="46"/>
      <c r="I403" s="46"/>
      <c r="J403" s="46"/>
      <c r="K403" s="46"/>
      <c r="L403" s="46"/>
      <c r="M403" s="45"/>
      <c r="N403" s="44"/>
    </row>
    <row r="404" customFormat="false" ht="15" hidden="false" customHeight="false" outlineLevel="0" collapsed="false">
      <c r="A404" s="44"/>
      <c r="B404" s="45"/>
      <c r="C404" s="45"/>
      <c r="D404" s="44"/>
      <c r="E404" s="44"/>
      <c r="F404" s="46"/>
      <c r="G404" s="46"/>
      <c r="H404" s="46"/>
      <c r="I404" s="46"/>
      <c r="J404" s="46"/>
      <c r="K404" s="46"/>
      <c r="L404" s="46"/>
      <c r="M404" s="45"/>
      <c r="N404" s="44"/>
    </row>
    <row r="405" customFormat="false" ht="15" hidden="false" customHeight="false" outlineLevel="0" collapsed="false">
      <c r="A405" s="44"/>
      <c r="B405" s="45"/>
      <c r="C405" s="45"/>
      <c r="D405" s="44"/>
      <c r="E405" s="44"/>
      <c r="F405" s="46"/>
      <c r="G405" s="46"/>
      <c r="H405" s="46"/>
      <c r="I405" s="46"/>
      <c r="J405" s="46"/>
      <c r="K405" s="46"/>
      <c r="L405" s="46"/>
      <c r="M405" s="45"/>
      <c r="N405" s="44"/>
    </row>
    <row r="406" customFormat="false" ht="15" hidden="false" customHeight="false" outlineLevel="0" collapsed="false">
      <c r="A406" s="44"/>
      <c r="B406" s="45"/>
      <c r="C406" s="45"/>
      <c r="D406" s="44"/>
      <c r="E406" s="44"/>
      <c r="F406" s="46"/>
      <c r="G406" s="46"/>
      <c r="H406" s="46"/>
      <c r="I406" s="46"/>
      <c r="J406" s="46"/>
      <c r="K406" s="46"/>
      <c r="L406" s="46"/>
      <c r="M406" s="45"/>
      <c r="N406" s="44"/>
    </row>
    <row r="407" customFormat="false" ht="15" hidden="false" customHeight="false" outlineLevel="0" collapsed="false">
      <c r="A407" s="44"/>
      <c r="B407" s="45"/>
      <c r="C407" s="45"/>
      <c r="D407" s="44"/>
      <c r="E407" s="44"/>
      <c r="F407" s="46"/>
      <c r="G407" s="46"/>
      <c r="H407" s="46"/>
      <c r="I407" s="46"/>
      <c r="J407" s="46"/>
      <c r="K407" s="46"/>
      <c r="L407" s="46"/>
      <c r="M407" s="45"/>
      <c r="N407" s="44"/>
    </row>
    <row r="408" customFormat="false" ht="15" hidden="false" customHeight="false" outlineLevel="0" collapsed="false">
      <c r="A408" s="44"/>
      <c r="B408" s="45"/>
      <c r="C408" s="45"/>
      <c r="D408" s="44"/>
      <c r="E408" s="44"/>
      <c r="F408" s="46"/>
      <c r="G408" s="46"/>
      <c r="H408" s="46"/>
      <c r="I408" s="46"/>
      <c r="J408" s="46"/>
      <c r="K408" s="46"/>
      <c r="L408" s="46"/>
      <c r="M408" s="45"/>
      <c r="N408" s="44"/>
    </row>
    <row r="409" customFormat="false" ht="15" hidden="false" customHeight="false" outlineLevel="0" collapsed="false">
      <c r="A409" s="44"/>
      <c r="B409" s="45"/>
      <c r="C409" s="45"/>
      <c r="D409" s="44"/>
      <c r="E409" s="44"/>
      <c r="F409" s="46"/>
      <c r="G409" s="46"/>
      <c r="H409" s="46"/>
      <c r="I409" s="46"/>
      <c r="J409" s="46"/>
      <c r="K409" s="46"/>
      <c r="L409" s="46"/>
      <c r="M409" s="45"/>
      <c r="N409" s="44"/>
    </row>
    <row r="410" customFormat="false" ht="15" hidden="false" customHeight="false" outlineLevel="0" collapsed="false">
      <c r="A410" s="44"/>
      <c r="B410" s="45"/>
      <c r="C410" s="45"/>
      <c r="D410" s="44"/>
      <c r="E410" s="44"/>
      <c r="F410" s="46"/>
      <c r="G410" s="46"/>
      <c r="H410" s="46"/>
      <c r="I410" s="46"/>
      <c r="J410" s="46"/>
      <c r="K410" s="46"/>
      <c r="L410" s="46"/>
      <c r="M410" s="45"/>
      <c r="N410" s="44"/>
    </row>
    <row r="411" customFormat="false" ht="15" hidden="false" customHeight="false" outlineLevel="0" collapsed="false">
      <c r="A411" s="44"/>
      <c r="B411" s="45"/>
      <c r="C411" s="45"/>
      <c r="D411" s="44"/>
      <c r="E411" s="44"/>
      <c r="F411" s="46"/>
      <c r="G411" s="46"/>
      <c r="H411" s="46"/>
      <c r="I411" s="46"/>
      <c r="J411" s="46"/>
      <c r="K411" s="46"/>
      <c r="L411" s="46"/>
      <c r="M411" s="45"/>
      <c r="N411" s="44"/>
    </row>
    <row r="412" customFormat="false" ht="15" hidden="false" customHeight="false" outlineLevel="0" collapsed="false">
      <c r="A412" s="44"/>
      <c r="B412" s="45"/>
      <c r="C412" s="45"/>
      <c r="D412" s="44"/>
      <c r="E412" s="44"/>
      <c r="F412" s="46"/>
      <c r="G412" s="46"/>
      <c r="H412" s="46"/>
      <c r="I412" s="46"/>
      <c r="J412" s="46"/>
      <c r="K412" s="46"/>
      <c r="L412" s="46"/>
      <c r="M412" s="45"/>
      <c r="N412" s="44"/>
    </row>
    <row r="413" customFormat="false" ht="15" hidden="false" customHeight="false" outlineLevel="0" collapsed="false">
      <c r="A413" s="44"/>
      <c r="B413" s="45"/>
      <c r="C413" s="45"/>
      <c r="D413" s="44"/>
      <c r="E413" s="44"/>
      <c r="F413" s="46"/>
      <c r="G413" s="46"/>
      <c r="H413" s="46"/>
      <c r="I413" s="46"/>
      <c r="J413" s="46"/>
      <c r="K413" s="46"/>
      <c r="L413" s="46"/>
      <c r="M413" s="45"/>
      <c r="N413" s="44"/>
    </row>
    <row r="414" customFormat="false" ht="15" hidden="false" customHeight="false" outlineLevel="0" collapsed="false">
      <c r="A414" s="44"/>
      <c r="B414" s="45"/>
      <c r="C414" s="45"/>
      <c r="D414" s="44"/>
      <c r="E414" s="44"/>
      <c r="F414" s="46"/>
      <c r="G414" s="46"/>
      <c r="H414" s="46"/>
      <c r="I414" s="46"/>
      <c r="J414" s="46"/>
      <c r="K414" s="46"/>
      <c r="L414" s="46"/>
      <c r="M414" s="45"/>
      <c r="N414" s="44"/>
    </row>
    <row r="415" customFormat="false" ht="15" hidden="false" customHeight="false" outlineLevel="0" collapsed="false">
      <c r="A415" s="44"/>
      <c r="B415" s="45"/>
      <c r="C415" s="45"/>
      <c r="D415" s="44"/>
      <c r="E415" s="44"/>
      <c r="F415" s="46"/>
      <c r="G415" s="46"/>
      <c r="H415" s="46"/>
      <c r="I415" s="46"/>
      <c r="J415" s="46"/>
      <c r="K415" s="46"/>
      <c r="L415" s="46"/>
      <c r="M415" s="45"/>
      <c r="N415" s="44"/>
    </row>
    <row r="416" customFormat="false" ht="15" hidden="false" customHeight="false" outlineLevel="0" collapsed="false">
      <c r="A416" s="44"/>
      <c r="B416" s="45"/>
      <c r="C416" s="45"/>
      <c r="D416" s="44"/>
      <c r="E416" s="44"/>
      <c r="F416" s="46"/>
      <c r="G416" s="46"/>
      <c r="H416" s="46"/>
      <c r="I416" s="46"/>
      <c r="J416" s="46"/>
      <c r="K416" s="46"/>
      <c r="L416" s="46"/>
      <c r="M416" s="45"/>
      <c r="N416" s="44"/>
    </row>
    <row r="417" customFormat="false" ht="15" hidden="false" customHeight="false" outlineLevel="0" collapsed="false">
      <c r="A417" s="44"/>
      <c r="B417" s="45"/>
      <c r="C417" s="45"/>
      <c r="D417" s="44"/>
      <c r="E417" s="44"/>
      <c r="F417" s="46"/>
      <c r="G417" s="46"/>
      <c r="H417" s="46"/>
      <c r="I417" s="46"/>
      <c r="J417" s="46"/>
      <c r="K417" s="46"/>
      <c r="L417" s="46"/>
      <c r="M417" s="45"/>
      <c r="N417" s="44"/>
    </row>
    <row r="418" customFormat="false" ht="15" hidden="false" customHeight="false" outlineLevel="0" collapsed="false">
      <c r="A418" s="44"/>
      <c r="B418" s="45"/>
      <c r="C418" s="45"/>
      <c r="D418" s="44"/>
      <c r="E418" s="44"/>
      <c r="F418" s="46"/>
      <c r="G418" s="46"/>
      <c r="H418" s="46"/>
      <c r="I418" s="46"/>
      <c r="J418" s="46"/>
      <c r="K418" s="46"/>
      <c r="L418" s="46"/>
      <c r="M418" s="45"/>
      <c r="N418" s="44"/>
    </row>
    <row r="419" customFormat="false" ht="15" hidden="false" customHeight="false" outlineLevel="0" collapsed="false">
      <c r="A419" s="44"/>
      <c r="B419" s="45"/>
      <c r="C419" s="45"/>
      <c r="D419" s="44"/>
      <c r="E419" s="44"/>
      <c r="F419" s="46"/>
      <c r="G419" s="46"/>
      <c r="H419" s="46"/>
      <c r="I419" s="46"/>
      <c r="J419" s="46"/>
      <c r="K419" s="46"/>
      <c r="L419" s="46"/>
      <c r="M419" s="45"/>
      <c r="N419" s="44"/>
    </row>
    <row r="420" customFormat="false" ht="15" hidden="false" customHeight="false" outlineLevel="0" collapsed="false">
      <c r="A420" s="44"/>
      <c r="B420" s="45"/>
      <c r="C420" s="45"/>
      <c r="D420" s="44"/>
      <c r="E420" s="44"/>
      <c r="F420" s="46"/>
      <c r="G420" s="46"/>
      <c r="H420" s="46"/>
      <c r="I420" s="46"/>
      <c r="J420" s="46"/>
      <c r="K420" s="46"/>
      <c r="L420" s="46"/>
      <c r="M420" s="45"/>
      <c r="N420" s="44"/>
    </row>
    <row r="421" customFormat="false" ht="15" hidden="false" customHeight="false" outlineLevel="0" collapsed="false">
      <c r="A421" s="44"/>
      <c r="B421" s="45"/>
      <c r="C421" s="45"/>
      <c r="D421" s="44"/>
      <c r="E421" s="44"/>
      <c r="F421" s="46"/>
      <c r="G421" s="46"/>
      <c r="H421" s="46"/>
      <c r="I421" s="46"/>
      <c r="J421" s="46"/>
      <c r="K421" s="46"/>
      <c r="L421" s="46"/>
      <c r="M421" s="45"/>
      <c r="N421" s="44"/>
    </row>
    <row r="422" customFormat="false" ht="15" hidden="false" customHeight="false" outlineLevel="0" collapsed="false">
      <c r="A422" s="44"/>
      <c r="B422" s="45"/>
      <c r="C422" s="45"/>
      <c r="D422" s="44"/>
      <c r="E422" s="44"/>
      <c r="F422" s="46"/>
      <c r="G422" s="46"/>
      <c r="H422" s="46"/>
      <c r="I422" s="46"/>
      <c r="J422" s="46"/>
      <c r="K422" s="46"/>
      <c r="L422" s="46"/>
      <c r="M422" s="45"/>
      <c r="N422" s="44"/>
    </row>
    <row r="423" customFormat="false" ht="15" hidden="false" customHeight="false" outlineLevel="0" collapsed="false">
      <c r="A423" s="44"/>
      <c r="B423" s="45"/>
      <c r="C423" s="45"/>
      <c r="D423" s="44"/>
      <c r="E423" s="44"/>
      <c r="F423" s="46"/>
      <c r="G423" s="46"/>
      <c r="H423" s="46"/>
      <c r="I423" s="46"/>
      <c r="J423" s="46"/>
      <c r="K423" s="46"/>
      <c r="L423" s="46"/>
      <c r="M423" s="45"/>
      <c r="N423" s="44"/>
    </row>
    <row r="424" customFormat="false" ht="15" hidden="false" customHeight="false" outlineLevel="0" collapsed="false">
      <c r="A424" s="44"/>
      <c r="B424" s="45"/>
      <c r="C424" s="45"/>
      <c r="D424" s="44"/>
      <c r="E424" s="44"/>
      <c r="F424" s="46"/>
      <c r="G424" s="46"/>
      <c r="H424" s="46"/>
      <c r="I424" s="46"/>
      <c r="J424" s="46"/>
      <c r="K424" s="46"/>
      <c r="L424" s="46"/>
      <c r="M424" s="45"/>
      <c r="N424" s="44"/>
    </row>
    <row r="425" customFormat="false" ht="15" hidden="false" customHeight="false" outlineLevel="0" collapsed="false">
      <c r="A425" s="44"/>
      <c r="B425" s="45"/>
      <c r="C425" s="45"/>
      <c r="D425" s="44"/>
      <c r="E425" s="44"/>
      <c r="F425" s="46"/>
      <c r="G425" s="46"/>
      <c r="H425" s="46"/>
      <c r="I425" s="46"/>
      <c r="J425" s="46"/>
      <c r="K425" s="46"/>
      <c r="L425" s="46"/>
      <c r="M425" s="45"/>
      <c r="N425" s="44"/>
    </row>
    <row r="426" customFormat="false" ht="15" hidden="false" customHeight="false" outlineLevel="0" collapsed="false">
      <c r="A426" s="44"/>
      <c r="B426" s="45"/>
      <c r="C426" s="45"/>
      <c r="D426" s="44"/>
      <c r="E426" s="44"/>
      <c r="F426" s="46"/>
      <c r="G426" s="46"/>
      <c r="H426" s="46"/>
      <c r="I426" s="46"/>
      <c r="J426" s="46"/>
      <c r="K426" s="46"/>
      <c r="L426" s="46"/>
      <c r="M426" s="45"/>
      <c r="N426" s="44"/>
    </row>
    <row r="427" customFormat="false" ht="15" hidden="false" customHeight="false" outlineLevel="0" collapsed="false">
      <c r="A427" s="44"/>
      <c r="B427" s="45"/>
      <c r="C427" s="45"/>
      <c r="D427" s="44"/>
      <c r="E427" s="44"/>
      <c r="F427" s="46"/>
      <c r="G427" s="46"/>
      <c r="H427" s="46"/>
      <c r="I427" s="46"/>
      <c r="J427" s="46"/>
      <c r="K427" s="46"/>
      <c r="L427" s="46"/>
      <c r="M427" s="45"/>
      <c r="N427" s="44"/>
    </row>
    <row r="428" customFormat="false" ht="15" hidden="false" customHeight="false" outlineLevel="0" collapsed="false">
      <c r="A428" s="44"/>
      <c r="B428" s="45"/>
      <c r="C428" s="45"/>
      <c r="D428" s="44"/>
      <c r="E428" s="44"/>
      <c r="F428" s="46"/>
      <c r="G428" s="46"/>
      <c r="H428" s="46"/>
      <c r="I428" s="46"/>
      <c r="J428" s="46"/>
      <c r="K428" s="46"/>
      <c r="L428" s="46"/>
      <c r="M428" s="45"/>
      <c r="N428" s="44"/>
    </row>
    <row r="429" customFormat="false" ht="15" hidden="false" customHeight="false" outlineLevel="0" collapsed="false">
      <c r="A429" s="44"/>
      <c r="B429" s="45"/>
      <c r="C429" s="45"/>
      <c r="D429" s="44"/>
      <c r="E429" s="44"/>
      <c r="F429" s="46"/>
      <c r="G429" s="46"/>
      <c r="H429" s="46"/>
      <c r="I429" s="46"/>
      <c r="J429" s="46"/>
      <c r="K429" s="46"/>
      <c r="L429" s="46"/>
      <c r="M429" s="45"/>
      <c r="N429" s="44"/>
    </row>
    <row r="430" customFormat="false" ht="15" hidden="false" customHeight="false" outlineLevel="0" collapsed="false">
      <c r="A430" s="44"/>
      <c r="B430" s="45"/>
      <c r="C430" s="45"/>
      <c r="D430" s="44"/>
      <c r="E430" s="44"/>
      <c r="F430" s="46"/>
      <c r="G430" s="46"/>
      <c r="H430" s="46"/>
      <c r="I430" s="46"/>
      <c r="J430" s="46"/>
      <c r="K430" s="46"/>
      <c r="L430" s="46"/>
      <c r="M430" s="45"/>
      <c r="N430" s="44"/>
    </row>
    <row r="431" customFormat="false" ht="15" hidden="false" customHeight="false" outlineLevel="0" collapsed="false">
      <c r="A431" s="44"/>
      <c r="B431" s="45"/>
      <c r="C431" s="45"/>
      <c r="D431" s="44"/>
      <c r="E431" s="44"/>
      <c r="F431" s="46"/>
      <c r="G431" s="46"/>
      <c r="H431" s="46"/>
      <c r="I431" s="46"/>
      <c r="J431" s="46"/>
      <c r="K431" s="46"/>
      <c r="L431" s="46"/>
      <c r="M431" s="45"/>
      <c r="N431" s="44"/>
    </row>
    <row r="432" customFormat="false" ht="15" hidden="false" customHeight="false" outlineLevel="0" collapsed="false">
      <c r="A432" s="44"/>
      <c r="B432" s="45"/>
      <c r="C432" s="45"/>
      <c r="D432" s="44"/>
      <c r="E432" s="44"/>
      <c r="F432" s="46"/>
      <c r="G432" s="46"/>
      <c r="H432" s="46"/>
      <c r="I432" s="46"/>
      <c r="J432" s="46"/>
      <c r="K432" s="46"/>
      <c r="L432" s="46"/>
      <c r="M432" s="45"/>
      <c r="N432" s="44"/>
    </row>
    <row r="433" customFormat="false" ht="15" hidden="false" customHeight="false" outlineLevel="0" collapsed="false">
      <c r="A433" s="44"/>
      <c r="B433" s="45"/>
      <c r="C433" s="45"/>
      <c r="D433" s="44"/>
      <c r="E433" s="44"/>
      <c r="F433" s="46"/>
      <c r="G433" s="46"/>
      <c r="H433" s="46"/>
      <c r="I433" s="46"/>
      <c r="J433" s="46"/>
      <c r="K433" s="46"/>
      <c r="L433" s="46"/>
      <c r="M433" s="45"/>
      <c r="N433" s="44"/>
    </row>
    <row r="434" customFormat="false" ht="15" hidden="false" customHeight="false" outlineLevel="0" collapsed="false">
      <c r="A434" s="44"/>
      <c r="B434" s="45"/>
      <c r="C434" s="45"/>
      <c r="D434" s="44"/>
      <c r="E434" s="44"/>
      <c r="F434" s="46"/>
      <c r="G434" s="46"/>
      <c r="H434" s="46"/>
      <c r="I434" s="46"/>
      <c r="J434" s="46"/>
      <c r="K434" s="46"/>
      <c r="L434" s="46"/>
      <c r="M434" s="45"/>
      <c r="N434" s="44"/>
    </row>
    <row r="435" customFormat="false" ht="15" hidden="false" customHeight="false" outlineLevel="0" collapsed="false">
      <c r="A435" s="44"/>
      <c r="B435" s="45"/>
      <c r="C435" s="45"/>
      <c r="D435" s="44"/>
      <c r="E435" s="44"/>
      <c r="F435" s="46"/>
      <c r="G435" s="46"/>
      <c r="H435" s="46"/>
      <c r="I435" s="46"/>
      <c r="J435" s="46"/>
      <c r="K435" s="46"/>
      <c r="L435" s="46"/>
      <c r="M435" s="45"/>
      <c r="N435" s="44"/>
    </row>
    <row r="436" customFormat="false" ht="15" hidden="false" customHeight="false" outlineLevel="0" collapsed="false">
      <c r="A436" s="44"/>
      <c r="B436" s="45"/>
      <c r="C436" s="45"/>
      <c r="D436" s="44"/>
      <c r="E436" s="44"/>
      <c r="F436" s="46"/>
      <c r="G436" s="46"/>
      <c r="H436" s="46"/>
      <c r="I436" s="46"/>
      <c r="J436" s="46"/>
      <c r="K436" s="46"/>
      <c r="L436" s="46"/>
      <c r="M436" s="45"/>
      <c r="N436" s="44"/>
    </row>
    <row r="437" customFormat="false" ht="15" hidden="false" customHeight="false" outlineLevel="0" collapsed="false">
      <c r="A437" s="44"/>
      <c r="B437" s="45"/>
      <c r="C437" s="45"/>
      <c r="D437" s="44"/>
      <c r="E437" s="44"/>
      <c r="F437" s="46"/>
      <c r="G437" s="46"/>
      <c r="H437" s="46"/>
      <c r="I437" s="46"/>
      <c r="J437" s="46"/>
      <c r="K437" s="46"/>
      <c r="L437" s="46"/>
      <c r="M437" s="45"/>
      <c r="N437" s="44"/>
    </row>
    <row r="438" customFormat="false" ht="15" hidden="false" customHeight="false" outlineLevel="0" collapsed="false">
      <c r="A438" s="44"/>
      <c r="B438" s="45"/>
      <c r="C438" s="45"/>
      <c r="D438" s="44"/>
      <c r="E438" s="44"/>
      <c r="F438" s="46"/>
      <c r="G438" s="46"/>
      <c r="H438" s="46"/>
      <c r="I438" s="46"/>
      <c r="J438" s="46"/>
      <c r="K438" s="46"/>
      <c r="L438" s="46"/>
      <c r="M438" s="45"/>
      <c r="N438" s="44"/>
    </row>
    <row r="439" customFormat="false" ht="15" hidden="false" customHeight="false" outlineLevel="0" collapsed="false">
      <c r="A439" s="44"/>
      <c r="B439" s="45"/>
      <c r="C439" s="45"/>
      <c r="D439" s="44"/>
      <c r="E439" s="44"/>
      <c r="F439" s="46"/>
      <c r="G439" s="46"/>
      <c r="H439" s="46"/>
      <c r="I439" s="46"/>
      <c r="J439" s="46"/>
      <c r="K439" s="46"/>
      <c r="L439" s="46"/>
      <c r="M439" s="45"/>
      <c r="N439" s="44"/>
    </row>
    <row r="440" customFormat="false" ht="15" hidden="false" customHeight="false" outlineLevel="0" collapsed="false">
      <c r="A440" s="44"/>
      <c r="B440" s="45"/>
      <c r="C440" s="45"/>
      <c r="D440" s="44"/>
      <c r="E440" s="44"/>
      <c r="F440" s="46"/>
      <c r="G440" s="46"/>
      <c r="H440" s="46"/>
      <c r="I440" s="46"/>
      <c r="J440" s="46"/>
      <c r="K440" s="46"/>
      <c r="L440" s="46"/>
      <c r="M440" s="45"/>
      <c r="N440" s="44"/>
    </row>
    <row r="441" customFormat="false" ht="15" hidden="false" customHeight="false" outlineLevel="0" collapsed="false">
      <c r="A441" s="44"/>
      <c r="B441" s="45"/>
      <c r="C441" s="45"/>
      <c r="D441" s="44"/>
      <c r="E441" s="44"/>
      <c r="F441" s="46"/>
      <c r="G441" s="46"/>
      <c r="H441" s="46"/>
      <c r="I441" s="46"/>
      <c r="J441" s="46"/>
      <c r="K441" s="46"/>
      <c r="L441" s="46"/>
      <c r="M441" s="45"/>
      <c r="N441" s="44"/>
    </row>
    <row r="442" customFormat="false" ht="15" hidden="false" customHeight="false" outlineLevel="0" collapsed="false">
      <c r="A442" s="44"/>
      <c r="B442" s="45"/>
      <c r="C442" s="45"/>
      <c r="D442" s="44"/>
      <c r="E442" s="44"/>
      <c r="F442" s="46"/>
      <c r="G442" s="46"/>
      <c r="H442" s="46"/>
      <c r="I442" s="46"/>
      <c r="J442" s="46"/>
      <c r="K442" s="46"/>
      <c r="L442" s="46"/>
      <c r="M442" s="45"/>
      <c r="N442" s="44"/>
    </row>
    <row r="443" customFormat="false" ht="15" hidden="false" customHeight="false" outlineLevel="0" collapsed="false">
      <c r="A443" s="44"/>
      <c r="B443" s="45"/>
      <c r="C443" s="45"/>
      <c r="D443" s="44"/>
      <c r="E443" s="44"/>
      <c r="F443" s="46"/>
      <c r="G443" s="46"/>
      <c r="H443" s="46"/>
      <c r="I443" s="46"/>
      <c r="J443" s="46"/>
      <c r="K443" s="46"/>
      <c r="L443" s="46"/>
      <c r="M443" s="45"/>
      <c r="N443" s="44"/>
    </row>
    <row r="444" customFormat="false" ht="15" hidden="false" customHeight="false" outlineLevel="0" collapsed="false">
      <c r="A444" s="44"/>
      <c r="B444" s="45"/>
      <c r="C444" s="45"/>
      <c r="D444" s="44"/>
      <c r="E444" s="44"/>
      <c r="F444" s="46"/>
      <c r="G444" s="46"/>
      <c r="H444" s="46"/>
      <c r="I444" s="46"/>
      <c r="J444" s="46"/>
      <c r="K444" s="46"/>
      <c r="L444" s="46"/>
      <c r="M444" s="45"/>
      <c r="N444" s="44"/>
    </row>
    <row r="445" customFormat="false" ht="15" hidden="false" customHeight="false" outlineLevel="0" collapsed="false">
      <c r="A445" s="44"/>
      <c r="B445" s="45"/>
      <c r="C445" s="45"/>
      <c r="D445" s="44"/>
      <c r="E445" s="44"/>
      <c r="F445" s="46"/>
      <c r="G445" s="46"/>
      <c r="H445" s="46"/>
      <c r="I445" s="46"/>
      <c r="J445" s="46"/>
      <c r="K445" s="46"/>
      <c r="L445" s="46"/>
      <c r="M445" s="45"/>
      <c r="N445" s="44"/>
    </row>
    <row r="446" customFormat="false" ht="15" hidden="false" customHeight="false" outlineLevel="0" collapsed="false">
      <c r="A446" s="44"/>
      <c r="B446" s="45"/>
      <c r="C446" s="45"/>
      <c r="D446" s="44"/>
      <c r="E446" s="44"/>
      <c r="F446" s="46"/>
      <c r="G446" s="46"/>
      <c r="H446" s="46"/>
      <c r="I446" s="46"/>
      <c r="J446" s="46"/>
      <c r="K446" s="46"/>
      <c r="L446" s="46"/>
      <c r="M446" s="45"/>
      <c r="N446" s="44"/>
    </row>
    <row r="447" customFormat="false" ht="15" hidden="false" customHeight="false" outlineLevel="0" collapsed="false">
      <c r="A447" s="44"/>
      <c r="B447" s="45"/>
      <c r="C447" s="45"/>
      <c r="D447" s="44"/>
      <c r="E447" s="44"/>
      <c r="F447" s="46"/>
      <c r="G447" s="46"/>
      <c r="H447" s="46"/>
      <c r="I447" s="46"/>
      <c r="J447" s="46"/>
      <c r="K447" s="46"/>
      <c r="L447" s="46"/>
      <c r="M447" s="45"/>
      <c r="N447" s="44"/>
    </row>
    <row r="448" customFormat="false" ht="15" hidden="false" customHeight="false" outlineLevel="0" collapsed="false">
      <c r="A448" s="44"/>
      <c r="B448" s="45"/>
      <c r="C448" s="45"/>
      <c r="D448" s="44"/>
      <c r="E448" s="44"/>
      <c r="F448" s="46"/>
      <c r="G448" s="46"/>
      <c r="H448" s="46"/>
      <c r="I448" s="46"/>
      <c r="J448" s="46"/>
      <c r="K448" s="46"/>
      <c r="L448" s="46"/>
      <c r="M448" s="45"/>
      <c r="N448" s="44"/>
    </row>
    <row r="449" customFormat="false" ht="15" hidden="false" customHeight="false" outlineLevel="0" collapsed="false">
      <c r="A449" s="44"/>
      <c r="B449" s="45"/>
      <c r="C449" s="45"/>
      <c r="D449" s="44"/>
      <c r="E449" s="44"/>
      <c r="F449" s="46"/>
      <c r="G449" s="46"/>
      <c r="H449" s="46"/>
      <c r="I449" s="46"/>
      <c r="J449" s="46"/>
      <c r="K449" s="46"/>
      <c r="L449" s="46"/>
      <c r="M449" s="45"/>
      <c r="N449" s="44"/>
    </row>
    <row r="450" customFormat="false" ht="15" hidden="false" customHeight="false" outlineLevel="0" collapsed="false">
      <c r="A450" s="44"/>
      <c r="B450" s="45"/>
      <c r="C450" s="45"/>
      <c r="D450" s="44"/>
      <c r="E450" s="44"/>
      <c r="F450" s="46"/>
      <c r="G450" s="46"/>
      <c r="H450" s="46"/>
      <c r="I450" s="46"/>
      <c r="J450" s="46"/>
      <c r="K450" s="46"/>
      <c r="L450" s="46"/>
      <c r="M450" s="45"/>
      <c r="N450" s="44"/>
    </row>
    <row r="451" customFormat="false" ht="15" hidden="false" customHeight="false" outlineLevel="0" collapsed="false">
      <c r="A451" s="44"/>
      <c r="B451" s="45"/>
      <c r="C451" s="45"/>
      <c r="D451" s="44"/>
      <c r="E451" s="44"/>
      <c r="F451" s="46"/>
      <c r="G451" s="46"/>
      <c r="H451" s="46"/>
      <c r="I451" s="46"/>
      <c r="J451" s="46"/>
      <c r="K451" s="46"/>
      <c r="L451" s="46"/>
      <c r="M451" s="45"/>
      <c r="N451" s="44"/>
    </row>
    <row r="452" customFormat="false" ht="15" hidden="false" customHeight="false" outlineLevel="0" collapsed="false">
      <c r="A452" s="44"/>
      <c r="B452" s="45"/>
      <c r="C452" s="45"/>
      <c r="D452" s="44"/>
      <c r="E452" s="44"/>
      <c r="F452" s="46"/>
      <c r="G452" s="46"/>
      <c r="H452" s="46"/>
      <c r="I452" s="46"/>
      <c r="J452" s="46"/>
      <c r="K452" s="46"/>
      <c r="L452" s="46"/>
      <c r="M452" s="45"/>
      <c r="N452" s="44"/>
    </row>
    <row r="453" customFormat="false" ht="15" hidden="false" customHeight="false" outlineLevel="0" collapsed="false">
      <c r="A453" s="44"/>
      <c r="B453" s="45"/>
      <c r="C453" s="45"/>
      <c r="D453" s="44"/>
      <c r="E453" s="44"/>
      <c r="F453" s="46"/>
      <c r="G453" s="46"/>
      <c r="H453" s="46"/>
      <c r="I453" s="46"/>
      <c r="J453" s="46"/>
      <c r="K453" s="46"/>
      <c r="L453" s="46"/>
      <c r="M453" s="45"/>
      <c r="N453" s="44"/>
    </row>
    <row r="454" customFormat="false" ht="15" hidden="false" customHeight="false" outlineLevel="0" collapsed="false">
      <c r="A454" s="44"/>
      <c r="B454" s="45"/>
      <c r="C454" s="45"/>
      <c r="D454" s="44"/>
      <c r="E454" s="44"/>
      <c r="F454" s="46"/>
      <c r="G454" s="46"/>
      <c r="H454" s="46"/>
      <c r="I454" s="46"/>
      <c r="J454" s="46"/>
      <c r="K454" s="46"/>
      <c r="L454" s="46"/>
      <c r="M454" s="45"/>
      <c r="N454" s="44"/>
    </row>
    <row r="455" customFormat="false" ht="15" hidden="false" customHeight="false" outlineLevel="0" collapsed="false">
      <c r="A455" s="44"/>
      <c r="B455" s="45"/>
      <c r="C455" s="45"/>
      <c r="D455" s="44"/>
      <c r="E455" s="44"/>
      <c r="F455" s="46"/>
      <c r="G455" s="46"/>
      <c r="H455" s="46"/>
      <c r="I455" s="46"/>
      <c r="J455" s="46"/>
      <c r="K455" s="46"/>
      <c r="L455" s="46"/>
      <c r="M455" s="45"/>
      <c r="N455" s="44"/>
    </row>
    <row r="456" customFormat="false" ht="15" hidden="false" customHeight="false" outlineLevel="0" collapsed="false">
      <c r="A456" s="44"/>
      <c r="B456" s="45"/>
      <c r="C456" s="45"/>
      <c r="D456" s="44"/>
      <c r="E456" s="44"/>
      <c r="F456" s="46"/>
      <c r="G456" s="46"/>
      <c r="H456" s="46"/>
      <c r="I456" s="46"/>
      <c r="J456" s="46"/>
      <c r="K456" s="46"/>
      <c r="L456" s="46"/>
      <c r="M456" s="45"/>
      <c r="N456" s="44"/>
    </row>
    <row r="457" customFormat="false" ht="15" hidden="false" customHeight="false" outlineLevel="0" collapsed="false">
      <c r="A457" s="44"/>
      <c r="B457" s="45"/>
      <c r="C457" s="45"/>
      <c r="D457" s="44"/>
      <c r="E457" s="44"/>
      <c r="F457" s="46"/>
      <c r="G457" s="46"/>
      <c r="H457" s="46"/>
      <c r="I457" s="46"/>
      <c r="J457" s="46"/>
      <c r="K457" s="46"/>
      <c r="L457" s="46"/>
      <c r="M457" s="45"/>
      <c r="N457" s="44"/>
    </row>
    <row r="458" customFormat="false" ht="15" hidden="false" customHeight="false" outlineLevel="0" collapsed="false">
      <c r="A458" s="44"/>
      <c r="B458" s="45"/>
      <c r="C458" s="45"/>
      <c r="D458" s="44"/>
      <c r="E458" s="44"/>
      <c r="F458" s="46"/>
      <c r="G458" s="46"/>
      <c r="H458" s="46"/>
      <c r="I458" s="46"/>
      <c r="J458" s="46"/>
      <c r="K458" s="46"/>
      <c r="L458" s="46"/>
      <c r="M458" s="45"/>
      <c r="N458" s="44"/>
    </row>
    <row r="459" customFormat="false" ht="15" hidden="false" customHeight="false" outlineLevel="0" collapsed="false">
      <c r="A459" s="44"/>
      <c r="B459" s="45"/>
      <c r="C459" s="45"/>
      <c r="D459" s="44"/>
      <c r="E459" s="44"/>
      <c r="F459" s="46"/>
      <c r="G459" s="46"/>
      <c r="H459" s="46"/>
      <c r="I459" s="46"/>
      <c r="J459" s="46"/>
      <c r="K459" s="46"/>
      <c r="L459" s="46"/>
      <c r="M459" s="45"/>
      <c r="N459" s="44"/>
    </row>
    <row r="460" customFormat="false" ht="15" hidden="false" customHeight="false" outlineLevel="0" collapsed="false">
      <c r="A460" s="44"/>
      <c r="B460" s="45"/>
      <c r="C460" s="45"/>
      <c r="D460" s="44"/>
      <c r="E460" s="44"/>
      <c r="F460" s="46"/>
      <c r="G460" s="46"/>
      <c r="H460" s="46"/>
      <c r="I460" s="46"/>
      <c r="J460" s="46"/>
      <c r="K460" s="46"/>
      <c r="L460" s="46"/>
      <c r="M460" s="45"/>
      <c r="N460" s="44"/>
    </row>
    <row r="461" customFormat="false" ht="15" hidden="false" customHeight="false" outlineLevel="0" collapsed="false">
      <c r="A461" s="44"/>
      <c r="B461" s="45"/>
      <c r="C461" s="45"/>
      <c r="D461" s="44"/>
      <c r="E461" s="44"/>
      <c r="F461" s="46"/>
      <c r="G461" s="46"/>
      <c r="H461" s="46"/>
      <c r="I461" s="46"/>
      <c r="J461" s="46"/>
      <c r="K461" s="46"/>
      <c r="L461" s="46"/>
      <c r="M461" s="45"/>
      <c r="N461" s="44"/>
    </row>
    <row r="462" customFormat="false" ht="15" hidden="false" customHeight="false" outlineLevel="0" collapsed="false">
      <c r="A462" s="44"/>
      <c r="B462" s="45"/>
      <c r="C462" s="45"/>
      <c r="D462" s="44"/>
      <c r="E462" s="44"/>
      <c r="F462" s="46"/>
      <c r="G462" s="46"/>
      <c r="H462" s="46"/>
      <c r="I462" s="46"/>
      <c r="J462" s="46"/>
      <c r="K462" s="46"/>
      <c r="L462" s="46"/>
      <c r="M462" s="45"/>
      <c r="N462" s="44"/>
    </row>
    <row r="463" customFormat="false" ht="15" hidden="false" customHeight="false" outlineLevel="0" collapsed="false">
      <c r="A463" s="44"/>
      <c r="B463" s="45"/>
      <c r="C463" s="45"/>
      <c r="D463" s="44"/>
      <c r="E463" s="44"/>
      <c r="F463" s="46"/>
      <c r="G463" s="46"/>
      <c r="H463" s="46"/>
      <c r="I463" s="46"/>
      <c r="J463" s="46"/>
      <c r="K463" s="46"/>
      <c r="L463" s="46"/>
      <c r="M463" s="45"/>
      <c r="N463" s="44"/>
    </row>
    <row r="464" customFormat="false" ht="15" hidden="false" customHeight="false" outlineLevel="0" collapsed="false">
      <c r="A464" s="44"/>
      <c r="B464" s="45"/>
      <c r="C464" s="45"/>
      <c r="D464" s="44"/>
      <c r="E464" s="44"/>
      <c r="F464" s="46"/>
      <c r="G464" s="46"/>
      <c r="H464" s="46"/>
      <c r="I464" s="46"/>
      <c r="J464" s="46"/>
      <c r="K464" s="46"/>
      <c r="L464" s="46"/>
      <c r="M464" s="45"/>
      <c r="N464" s="44"/>
    </row>
    <row r="465" customFormat="false" ht="15" hidden="false" customHeight="false" outlineLevel="0" collapsed="false">
      <c r="A465" s="44"/>
      <c r="B465" s="45"/>
      <c r="C465" s="45"/>
      <c r="D465" s="44"/>
      <c r="E465" s="44"/>
      <c r="F465" s="46"/>
      <c r="G465" s="46"/>
      <c r="H465" s="46"/>
      <c r="I465" s="46"/>
      <c r="J465" s="46"/>
      <c r="K465" s="46"/>
      <c r="L465" s="46"/>
      <c r="M465" s="45"/>
      <c r="N465" s="44"/>
    </row>
    <row r="466" customFormat="false" ht="15" hidden="false" customHeight="false" outlineLevel="0" collapsed="false">
      <c r="A466" s="44"/>
      <c r="B466" s="45"/>
      <c r="C466" s="45"/>
      <c r="D466" s="44"/>
      <c r="E466" s="44"/>
      <c r="F466" s="46"/>
      <c r="G466" s="46"/>
      <c r="H466" s="46"/>
      <c r="I466" s="46"/>
      <c r="J466" s="46"/>
      <c r="K466" s="46"/>
      <c r="L466" s="46"/>
      <c r="M466" s="45"/>
      <c r="N466" s="44"/>
    </row>
    <row r="467" customFormat="false" ht="15" hidden="false" customHeight="false" outlineLevel="0" collapsed="false">
      <c r="A467" s="44"/>
      <c r="B467" s="45"/>
      <c r="C467" s="45"/>
      <c r="D467" s="44"/>
      <c r="E467" s="44"/>
      <c r="F467" s="46"/>
      <c r="G467" s="46"/>
      <c r="H467" s="46"/>
      <c r="I467" s="46"/>
      <c r="J467" s="46"/>
      <c r="K467" s="46"/>
      <c r="L467" s="46"/>
      <c r="M467" s="45"/>
      <c r="N467" s="44"/>
    </row>
    <row r="468" customFormat="false" ht="15" hidden="false" customHeight="false" outlineLevel="0" collapsed="false">
      <c r="A468" s="44"/>
      <c r="B468" s="45"/>
      <c r="C468" s="45"/>
      <c r="D468" s="44"/>
      <c r="E468" s="44"/>
      <c r="F468" s="46"/>
      <c r="G468" s="46"/>
      <c r="H468" s="46"/>
      <c r="I468" s="46"/>
      <c r="J468" s="46"/>
      <c r="K468" s="46"/>
      <c r="L468" s="46"/>
      <c r="M468" s="45"/>
      <c r="N468" s="44"/>
    </row>
    <row r="469" customFormat="false" ht="15" hidden="false" customHeight="false" outlineLevel="0" collapsed="false">
      <c r="A469" s="44"/>
      <c r="B469" s="45"/>
      <c r="C469" s="45"/>
      <c r="D469" s="44"/>
      <c r="E469" s="44"/>
      <c r="F469" s="46"/>
      <c r="G469" s="46"/>
      <c r="H469" s="46"/>
      <c r="I469" s="46"/>
      <c r="J469" s="46"/>
      <c r="K469" s="46"/>
      <c r="L469" s="46"/>
      <c r="M469" s="45"/>
      <c r="N469" s="44"/>
    </row>
    <row r="470" customFormat="false" ht="15" hidden="false" customHeight="false" outlineLevel="0" collapsed="false">
      <c r="A470" s="44"/>
      <c r="B470" s="45"/>
      <c r="C470" s="45"/>
      <c r="D470" s="44"/>
      <c r="E470" s="44"/>
      <c r="F470" s="46"/>
      <c r="G470" s="46"/>
      <c r="H470" s="46"/>
      <c r="I470" s="46"/>
      <c r="J470" s="46"/>
      <c r="K470" s="46"/>
      <c r="L470" s="46"/>
      <c r="M470" s="45"/>
      <c r="N470" s="44"/>
    </row>
    <row r="471" customFormat="false" ht="15" hidden="false" customHeight="false" outlineLevel="0" collapsed="false">
      <c r="A471" s="44"/>
      <c r="B471" s="45"/>
      <c r="C471" s="45"/>
      <c r="D471" s="44"/>
      <c r="E471" s="44"/>
      <c r="F471" s="46"/>
      <c r="G471" s="46"/>
      <c r="H471" s="46"/>
      <c r="I471" s="46"/>
      <c r="J471" s="46"/>
      <c r="K471" s="46"/>
      <c r="L471" s="46"/>
      <c r="M471" s="45"/>
      <c r="N471" s="44"/>
    </row>
    <row r="472" customFormat="false" ht="15" hidden="false" customHeight="false" outlineLevel="0" collapsed="false">
      <c r="A472" s="44"/>
      <c r="B472" s="45"/>
      <c r="C472" s="45"/>
      <c r="D472" s="44"/>
      <c r="E472" s="44"/>
      <c r="F472" s="46"/>
      <c r="G472" s="46"/>
      <c r="H472" s="46"/>
      <c r="I472" s="46"/>
      <c r="J472" s="46"/>
      <c r="K472" s="46"/>
      <c r="L472" s="46"/>
      <c r="M472" s="45"/>
      <c r="N472" s="44"/>
    </row>
    <row r="473" customFormat="false" ht="15" hidden="false" customHeight="false" outlineLevel="0" collapsed="false">
      <c r="A473" s="44"/>
      <c r="B473" s="45"/>
      <c r="C473" s="45"/>
      <c r="D473" s="44"/>
      <c r="E473" s="44"/>
      <c r="F473" s="46"/>
      <c r="G473" s="46"/>
      <c r="H473" s="46"/>
      <c r="I473" s="46"/>
      <c r="J473" s="46"/>
      <c r="K473" s="46"/>
      <c r="L473" s="46"/>
      <c r="M473" s="45"/>
      <c r="N473" s="44"/>
    </row>
    <row r="474" customFormat="false" ht="15" hidden="false" customHeight="false" outlineLevel="0" collapsed="false">
      <c r="A474" s="44"/>
      <c r="B474" s="45"/>
      <c r="C474" s="45"/>
      <c r="D474" s="44"/>
      <c r="E474" s="44"/>
      <c r="F474" s="46"/>
      <c r="G474" s="46"/>
      <c r="H474" s="46"/>
      <c r="I474" s="46"/>
      <c r="J474" s="46"/>
      <c r="K474" s="46"/>
      <c r="L474" s="46"/>
      <c r="M474" s="45"/>
      <c r="N474" s="44"/>
    </row>
    <row r="475" customFormat="false" ht="15" hidden="false" customHeight="false" outlineLevel="0" collapsed="false">
      <c r="A475" s="44"/>
      <c r="B475" s="45"/>
      <c r="C475" s="45"/>
      <c r="D475" s="44"/>
      <c r="E475" s="44"/>
      <c r="F475" s="46"/>
      <c r="G475" s="46"/>
      <c r="H475" s="46"/>
      <c r="I475" s="46"/>
      <c r="J475" s="46"/>
      <c r="K475" s="46"/>
      <c r="L475" s="46"/>
      <c r="M475" s="45"/>
      <c r="N475" s="44"/>
    </row>
    <row r="476" customFormat="false" ht="15" hidden="false" customHeight="false" outlineLevel="0" collapsed="false">
      <c r="A476" s="44"/>
      <c r="B476" s="45"/>
      <c r="C476" s="45"/>
      <c r="D476" s="44"/>
      <c r="E476" s="44"/>
      <c r="F476" s="46"/>
      <c r="G476" s="46"/>
      <c r="H476" s="46"/>
      <c r="I476" s="46"/>
      <c r="J476" s="46"/>
      <c r="K476" s="46"/>
      <c r="L476" s="46"/>
      <c r="M476" s="45"/>
      <c r="N476" s="44"/>
    </row>
    <row r="477" customFormat="false" ht="15" hidden="false" customHeight="false" outlineLevel="0" collapsed="false">
      <c r="A477" s="44"/>
      <c r="B477" s="45"/>
      <c r="C477" s="45"/>
      <c r="D477" s="44"/>
      <c r="E477" s="44"/>
      <c r="F477" s="46"/>
      <c r="G477" s="46"/>
      <c r="H477" s="46"/>
      <c r="I477" s="46"/>
      <c r="J477" s="46"/>
      <c r="K477" s="46"/>
      <c r="L477" s="46"/>
      <c r="M477" s="45"/>
      <c r="N477" s="44"/>
    </row>
    <row r="478" customFormat="false" ht="15" hidden="false" customHeight="false" outlineLevel="0" collapsed="false">
      <c r="A478" s="44"/>
      <c r="B478" s="45"/>
      <c r="C478" s="45"/>
      <c r="D478" s="44"/>
      <c r="E478" s="44"/>
      <c r="F478" s="46"/>
      <c r="G478" s="46"/>
      <c r="H478" s="46"/>
      <c r="I478" s="46"/>
      <c r="J478" s="46"/>
      <c r="K478" s="46"/>
      <c r="L478" s="46"/>
      <c r="M478" s="45"/>
      <c r="N478" s="44"/>
    </row>
    <row r="479" customFormat="false" ht="15" hidden="false" customHeight="false" outlineLevel="0" collapsed="false">
      <c r="A479" s="44"/>
      <c r="B479" s="45"/>
      <c r="C479" s="45"/>
      <c r="D479" s="44"/>
      <c r="E479" s="44"/>
      <c r="F479" s="46"/>
      <c r="G479" s="46"/>
      <c r="H479" s="46"/>
      <c r="I479" s="46"/>
      <c r="J479" s="46"/>
      <c r="K479" s="46"/>
      <c r="L479" s="46"/>
      <c r="M479" s="45"/>
      <c r="N479" s="44"/>
    </row>
    <row r="480" customFormat="false" ht="15" hidden="false" customHeight="false" outlineLevel="0" collapsed="false">
      <c r="A480" s="44"/>
      <c r="B480" s="45"/>
      <c r="C480" s="45"/>
      <c r="D480" s="44"/>
      <c r="E480" s="44"/>
      <c r="F480" s="46"/>
      <c r="G480" s="46"/>
      <c r="H480" s="46"/>
      <c r="I480" s="46"/>
      <c r="J480" s="46"/>
      <c r="K480" s="46"/>
      <c r="L480" s="46"/>
      <c r="M480" s="45"/>
      <c r="N480" s="44"/>
    </row>
    <row r="481" customFormat="false" ht="15" hidden="false" customHeight="false" outlineLevel="0" collapsed="false">
      <c r="A481" s="44"/>
      <c r="B481" s="45"/>
      <c r="C481" s="45"/>
      <c r="D481" s="44"/>
      <c r="E481" s="44"/>
      <c r="F481" s="46"/>
      <c r="G481" s="46"/>
      <c r="H481" s="46"/>
      <c r="I481" s="46"/>
      <c r="J481" s="46"/>
      <c r="K481" s="46"/>
      <c r="L481" s="46"/>
      <c r="M481" s="45"/>
      <c r="N481" s="44"/>
    </row>
    <row r="482" customFormat="false" ht="15" hidden="false" customHeight="false" outlineLevel="0" collapsed="false">
      <c r="A482" s="44"/>
      <c r="B482" s="45"/>
      <c r="C482" s="45"/>
      <c r="D482" s="44"/>
      <c r="E482" s="44"/>
      <c r="F482" s="46"/>
      <c r="G482" s="46"/>
      <c r="H482" s="46"/>
      <c r="I482" s="46"/>
      <c r="J482" s="46"/>
      <c r="K482" s="46"/>
      <c r="L482" s="46"/>
      <c r="M482" s="45"/>
      <c r="N482" s="44"/>
    </row>
    <row r="483" customFormat="false" ht="15" hidden="false" customHeight="false" outlineLevel="0" collapsed="false">
      <c r="A483" s="44"/>
      <c r="B483" s="45"/>
      <c r="C483" s="45"/>
      <c r="D483" s="44"/>
      <c r="E483" s="44"/>
      <c r="F483" s="46"/>
      <c r="G483" s="46"/>
      <c r="H483" s="46"/>
      <c r="I483" s="46"/>
      <c r="J483" s="46"/>
      <c r="K483" s="46"/>
      <c r="L483" s="46"/>
      <c r="M483" s="45"/>
      <c r="N483" s="44"/>
    </row>
    <row r="484" customFormat="false" ht="15" hidden="false" customHeight="false" outlineLevel="0" collapsed="false">
      <c r="A484" s="44"/>
      <c r="B484" s="45"/>
      <c r="C484" s="45"/>
      <c r="D484" s="44"/>
      <c r="E484" s="44"/>
      <c r="F484" s="46"/>
      <c r="G484" s="46"/>
      <c r="H484" s="46"/>
      <c r="I484" s="46"/>
      <c r="J484" s="46"/>
      <c r="K484" s="46"/>
      <c r="L484" s="46"/>
      <c r="M484" s="45"/>
      <c r="N484" s="44"/>
    </row>
    <row r="485" customFormat="false" ht="15" hidden="false" customHeight="false" outlineLevel="0" collapsed="false">
      <c r="A485" s="44"/>
      <c r="B485" s="45"/>
      <c r="C485" s="45"/>
      <c r="D485" s="44"/>
      <c r="E485" s="44"/>
      <c r="F485" s="46"/>
      <c r="G485" s="46"/>
      <c r="H485" s="46"/>
      <c r="I485" s="46"/>
      <c r="J485" s="46"/>
      <c r="K485" s="46"/>
      <c r="L485" s="46"/>
      <c r="M485" s="45"/>
      <c r="N485" s="44"/>
    </row>
    <row r="486" customFormat="false" ht="15" hidden="false" customHeight="false" outlineLevel="0" collapsed="false">
      <c r="A486" s="44"/>
      <c r="B486" s="45"/>
      <c r="C486" s="45"/>
      <c r="D486" s="44"/>
      <c r="E486" s="44"/>
      <c r="F486" s="46"/>
      <c r="G486" s="46"/>
      <c r="H486" s="46"/>
      <c r="I486" s="46"/>
      <c r="J486" s="46"/>
      <c r="K486" s="46"/>
      <c r="L486" s="46"/>
      <c r="M486" s="45"/>
      <c r="N486" s="44"/>
    </row>
    <row r="487" customFormat="false" ht="15" hidden="false" customHeight="false" outlineLevel="0" collapsed="false">
      <c r="A487" s="44"/>
      <c r="B487" s="45"/>
      <c r="C487" s="45"/>
      <c r="D487" s="44"/>
      <c r="E487" s="44"/>
      <c r="F487" s="46"/>
      <c r="G487" s="46"/>
      <c r="H487" s="46"/>
      <c r="I487" s="46"/>
      <c r="J487" s="46"/>
      <c r="K487" s="46"/>
      <c r="L487" s="46"/>
      <c r="M487" s="45"/>
      <c r="N487" s="44"/>
    </row>
    <row r="488" customFormat="false" ht="15" hidden="false" customHeight="false" outlineLevel="0" collapsed="false">
      <c r="A488" s="44"/>
      <c r="B488" s="45"/>
      <c r="C488" s="45"/>
      <c r="D488" s="44"/>
      <c r="E488" s="44"/>
      <c r="F488" s="46"/>
      <c r="G488" s="46"/>
      <c r="H488" s="46"/>
      <c r="I488" s="46"/>
      <c r="J488" s="46"/>
      <c r="K488" s="46"/>
      <c r="L488" s="46"/>
      <c r="M488" s="45"/>
      <c r="N488" s="44"/>
    </row>
    <row r="489" customFormat="false" ht="15" hidden="false" customHeight="false" outlineLevel="0" collapsed="false">
      <c r="A489" s="44"/>
      <c r="B489" s="45"/>
      <c r="C489" s="45"/>
      <c r="D489" s="44"/>
      <c r="E489" s="44"/>
      <c r="F489" s="46"/>
      <c r="G489" s="46"/>
      <c r="H489" s="46"/>
      <c r="I489" s="46"/>
      <c r="J489" s="46"/>
      <c r="K489" s="46"/>
      <c r="L489" s="46"/>
      <c r="M489" s="45"/>
      <c r="N489" s="44"/>
    </row>
    <row r="490" customFormat="false" ht="15" hidden="false" customHeight="false" outlineLevel="0" collapsed="false">
      <c r="A490" s="44"/>
      <c r="B490" s="45"/>
      <c r="C490" s="45"/>
      <c r="D490" s="44"/>
      <c r="E490" s="44"/>
      <c r="F490" s="46"/>
      <c r="G490" s="46"/>
      <c r="H490" s="46"/>
      <c r="I490" s="46"/>
      <c r="J490" s="46"/>
      <c r="K490" s="46"/>
      <c r="L490" s="46"/>
      <c r="M490" s="45"/>
      <c r="N490" s="44"/>
    </row>
    <row r="491" customFormat="false" ht="15" hidden="false" customHeight="false" outlineLevel="0" collapsed="false">
      <c r="A491" s="44"/>
      <c r="B491" s="45"/>
      <c r="C491" s="45"/>
      <c r="D491" s="44"/>
      <c r="E491" s="44"/>
      <c r="F491" s="46"/>
      <c r="G491" s="46"/>
      <c r="H491" s="46"/>
      <c r="I491" s="46"/>
      <c r="J491" s="46"/>
      <c r="K491" s="46"/>
      <c r="L491" s="46"/>
      <c r="M491" s="45"/>
      <c r="N491" s="44"/>
    </row>
    <row r="492" customFormat="false" ht="15" hidden="false" customHeight="false" outlineLevel="0" collapsed="false">
      <c r="A492" s="44"/>
      <c r="B492" s="45"/>
      <c r="C492" s="45"/>
      <c r="D492" s="44"/>
      <c r="E492" s="44"/>
      <c r="F492" s="46"/>
      <c r="G492" s="46"/>
      <c r="H492" s="46"/>
      <c r="I492" s="46"/>
      <c r="J492" s="46"/>
      <c r="K492" s="46"/>
      <c r="L492" s="46"/>
      <c r="M492" s="45"/>
      <c r="N492" s="44"/>
    </row>
    <row r="493" customFormat="false" ht="15" hidden="false" customHeight="false" outlineLevel="0" collapsed="false">
      <c r="A493" s="44"/>
      <c r="B493" s="45"/>
      <c r="C493" s="45"/>
      <c r="D493" s="44"/>
      <c r="E493" s="44"/>
      <c r="F493" s="46"/>
      <c r="G493" s="46"/>
      <c r="H493" s="46"/>
      <c r="I493" s="46"/>
      <c r="J493" s="46"/>
      <c r="K493" s="46"/>
      <c r="L493" s="46"/>
      <c r="M493" s="45"/>
      <c r="N493" s="44"/>
    </row>
    <row r="494" customFormat="false" ht="15" hidden="false" customHeight="false" outlineLevel="0" collapsed="false">
      <c r="A494" s="44"/>
      <c r="B494" s="45"/>
      <c r="C494" s="45"/>
      <c r="D494" s="44"/>
      <c r="E494" s="44"/>
      <c r="F494" s="46"/>
      <c r="G494" s="46"/>
      <c r="H494" s="46"/>
      <c r="I494" s="46"/>
      <c r="J494" s="46"/>
      <c r="K494" s="46"/>
      <c r="L494" s="46"/>
      <c r="M494" s="45"/>
      <c r="N494" s="44"/>
    </row>
    <row r="495" customFormat="false" ht="15" hidden="false" customHeight="false" outlineLevel="0" collapsed="false">
      <c r="A495" s="44"/>
      <c r="B495" s="45"/>
      <c r="C495" s="45"/>
      <c r="D495" s="44"/>
      <c r="E495" s="44"/>
      <c r="F495" s="46"/>
      <c r="G495" s="46"/>
      <c r="H495" s="46"/>
      <c r="I495" s="46"/>
      <c r="J495" s="46"/>
      <c r="K495" s="46"/>
      <c r="L495" s="46"/>
      <c r="M495" s="45"/>
      <c r="N495" s="44"/>
    </row>
    <row r="496" customFormat="false" ht="15" hidden="false" customHeight="false" outlineLevel="0" collapsed="false">
      <c r="A496" s="44"/>
      <c r="B496" s="45"/>
      <c r="C496" s="45"/>
      <c r="D496" s="44"/>
      <c r="E496" s="44"/>
      <c r="F496" s="46"/>
      <c r="G496" s="46"/>
      <c r="H496" s="46"/>
      <c r="I496" s="46"/>
      <c r="J496" s="46"/>
      <c r="K496" s="46"/>
      <c r="L496" s="46"/>
      <c r="M496" s="45"/>
      <c r="N496" s="44"/>
    </row>
    <row r="497" customFormat="false" ht="15" hidden="false" customHeight="false" outlineLevel="0" collapsed="false">
      <c r="A497" s="44"/>
      <c r="B497" s="45"/>
      <c r="C497" s="45"/>
      <c r="D497" s="44"/>
      <c r="E497" s="44"/>
      <c r="F497" s="46"/>
      <c r="G497" s="46"/>
      <c r="H497" s="46"/>
      <c r="I497" s="46"/>
      <c r="J497" s="46"/>
      <c r="K497" s="46"/>
      <c r="L497" s="46"/>
      <c r="M497" s="45"/>
      <c r="N497" s="44"/>
    </row>
    <row r="498" customFormat="false" ht="15" hidden="false" customHeight="false" outlineLevel="0" collapsed="false">
      <c r="A498" s="44"/>
      <c r="B498" s="45"/>
      <c r="C498" s="45"/>
      <c r="D498" s="44"/>
      <c r="E498" s="44"/>
      <c r="F498" s="46"/>
      <c r="G498" s="46"/>
      <c r="H498" s="46"/>
      <c r="I498" s="46"/>
      <c r="J498" s="46"/>
      <c r="K498" s="46"/>
      <c r="L498" s="46"/>
      <c r="M498" s="45"/>
      <c r="N498" s="44"/>
    </row>
    <row r="499" customFormat="false" ht="15" hidden="false" customHeight="false" outlineLevel="0" collapsed="false">
      <c r="A499" s="44"/>
      <c r="B499" s="45"/>
      <c r="C499" s="45"/>
      <c r="D499" s="44"/>
      <c r="E499" s="44"/>
      <c r="F499" s="46"/>
      <c r="G499" s="46"/>
      <c r="H499" s="46"/>
      <c r="I499" s="46"/>
      <c r="J499" s="46"/>
      <c r="K499" s="46"/>
      <c r="L499" s="46"/>
      <c r="M499" s="45"/>
      <c r="N499" s="44"/>
    </row>
    <row r="500" customFormat="false" ht="15" hidden="false" customHeight="false" outlineLevel="0" collapsed="false">
      <c r="A500" s="44"/>
      <c r="B500" s="45"/>
      <c r="C500" s="45"/>
      <c r="D500" s="44"/>
      <c r="E500" s="44"/>
      <c r="F500" s="46"/>
      <c r="G500" s="46"/>
      <c r="H500" s="46"/>
      <c r="I500" s="46"/>
      <c r="J500" s="46"/>
      <c r="K500" s="46"/>
      <c r="L500" s="46"/>
      <c r="M500" s="45"/>
      <c r="N500" s="44"/>
    </row>
    <row r="501" customFormat="false" ht="15" hidden="false" customHeight="false" outlineLevel="0" collapsed="false">
      <c r="A501" s="44"/>
      <c r="B501" s="45"/>
      <c r="C501" s="45"/>
      <c r="D501" s="44"/>
      <c r="E501" s="44"/>
      <c r="F501" s="46"/>
      <c r="G501" s="46"/>
      <c r="H501" s="46"/>
      <c r="I501" s="46"/>
      <c r="J501" s="46"/>
      <c r="K501" s="46"/>
      <c r="L501" s="46"/>
      <c r="M501" s="45"/>
      <c r="N501" s="44"/>
    </row>
    <row r="502" customFormat="false" ht="15" hidden="false" customHeight="false" outlineLevel="0" collapsed="false">
      <c r="A502" s="44"/>
      <c r="B502" s="45"/>
      <c r="C502" s="45"/>
      <c r="D502" s="44"/>
      <c r="E502" s="44"/>
      <c r="F502" s="46"/>
      <c r="G502" s="46"/>
      <c r="H502" s="46"/>
      <c r="I502" s="46"/>
      <c r="J502" s="46"/>
      <c r="K502" s="46"/>
      <c r="L502" s="46"/>
      <c r="M502" s="45"/>
      <c r="N502" s="44"/>
    </row>
    <row r="503" customFormat="false" ht="15" hidden="false" customHeight="false" outlineLevel="0" collapsed="false">
      <c r="A503" s="44"/>
      <c r="B503" s="45"/>
      <c r="C503" s="45"/>
      <c r="D503" s="44"/>
      <c r="E503" s="44"/>
      <c r="F503" s="46"/>
      <c r="G503" s="46"/>
      <c r="H503" s="46"/>
      <c r="I503" s="46"/>
      <c r="J503" s="46"/>
      <c r="K503" s="46"/>
      <c r="L503" s="46"/>
      <c r="M503" s="45"/>
      <c r="N503" s="44"/>
    </row>
    <row r="504" customFormat="false" ht="15" hidden="false" customHeight="false" outlineLevel="0" collapsed="false">
      <c r="A504" s="44"/>
      <c r="B504" s="45"/>
      <c r="C504" s="45"/>
      <c r="D504" s="44"/>
      <c r="E504" s="44"/>
      <c r="F504" s="46"/>
      <c r="G504" s="46"/>
      <c r="H504" s="46"/>
      <c r="I504" s="46"/>
      <c r="J504" s="46"/>
      <c r="K504" s="46"/>
      <c r="L504" s="46"/>
      <c r="M504" s="45"/>
      <c r="N504" s="44"/>
    </row>
    <row r="505" customFormat="false" ht="15" hidden="false" customHeight="false" outlineLevel="0" collapsed="false">
      <c r="A505" s="44"/>
      <c r="B505" s="45"/>
      <c r="C505" s="45"/>
      <c r="D505" s="44"/>
      <c r="E505" s="44"/>
      <c r="F505" s="46"/>
      <c r="G505" s="46"/>
      <c r="H505" s="46"/>
      <c r="I505" s="46"/>
      <c r="J505" s="46"/>
      <c r="K505" s="46"/>
      <c r="L505" s="46"/>
      <c r="M505" s="45"/>
      <c r="N505" s="44"/>
    </row>
    <row r="506" customFormat="false" ht="15" hidden="false" customHeight="false" outlineLevel="0" collapsed="false">
      <c r="A506" s="44"/>
      <c r="B506" s="45"/>
      <c r="C506" s="45"/>
      <c r="D506" s="44"/>
      <c r="E506" s="44"/>
      <c r="F506" s="46"/>
      <c r="G506" s="46"/>
      <c r="H506" s="46"/>
      <c r="I506" s="46"/>
      <c r="J506" s="46"/>
      <c r="K506" s="46"/>
      <c r="L506" s="46"/>
      <c r="M506" s="45"/>
      <c r="N506" s="44"/>
    </row>
    <row r="507" customFormat="false" ht="15" hidden="false" customHeight="false" outlineLevel="0" collapsed="false">
      <c r="A507" s="44"/>
      <c r="B507" s="45"/>
      <c r="C507" s="45"/>
      <c r="D507" s="44"/>
      <c r="E507" s="44"/>
      <c r="F507" s="46"/>
      <c r="G507" s="46"/>
      <c r="H507" s="46"/>
      <c r="I507" s="46"/>
      <c r="J507" s="46"/>
      <c r="K507" s="46"/>
      <c r="L507" s="46"/>
      <c r="M507" s="45"/>
      <c r="N507" s="44"/>
    </row>
    <row r="508" customFormat="false" ht="15" hidden="false" customHeight="false" outlineLevel="0" collapsed="false">
      <c r="A508" s="44"/>
      <c r="B508" s="45"/>
      <c r="C508" s="45"/>
      <c r="D508" s="44"/>
      <c r="E508" s="44"/>
      <c r="F508" s="46"/>
      <c r="G508" s="46"/>
      <c r="H508" s="46"/>
      <c r="I508" s="46"/>
      <c r="J508" s="46"/>
      <c r="K508" s="46"/>
      <c r="L508" s="46"/>
      <c r="M508" s="45"/>
      <c r="N508" s="44"/>
    </row>
    <row r="509" customFormat="false" ht="15" hidden="false" customHeight="false" outlineLevel="0" collapsed="false">
      <c r="A509" s="44"/>
      <c r="B509" s="45"/>
      <c r="C509" s="45"/>
      <c r="D509" s="44"/>
      <c r="E509" s="44"/>
      <c r="F509" s="46"/>
      <c r="G509" s="46"/>
      <c r="H509" s="46"/>
      <c r="I509" s="46"/>
      <c r="J509" s="46"/>
      <c r="K509" s="46"/>
      <c r="L509" s="46"/>
      <c r="M509" s="45"/>
      <c r="N509" s="44"/>
    </row>
    <row r="510" customFormat="false" ht="15" hidden="false" customHeight="false" outlineLevel="0" collapsed="false">
      <c r="A510" s="44"/>
      <c r="B510" s="45"/>
      <c r="C510" s="45"/>
      <c r="D510" s="44"/>
      <c r="E510" s="44"/>
      <c r="F510" s="46"/>
      <c r="G510" s="46"/>
      <c r="H510" s="46"/>
      <c r="I510" s="46"/>
      <c r="J510" s="46"/>
      <c r="K510" s="46"/>
      <c r="L510" s="46"/>
      <c r="M510" s="45"/>
      <c r="N510" s="44"/>
    </row>
    <row r="511" customFormat="false" ht="15" hidden="false" customHeight="false" outlineLevel="0" collapsed="false">
      <c r="A511" s="44"/>
      <c r="B511" s="45"/>
      <c r="C511" s="45"/>
      <c r="D511" s="44"/>
      <c r="E511" s="44"/>
      <c r="F511" s="46"/>
      <c r="G511" s="46"/>
      <c r="H511" s="46"/>
      <c r="I511" s="46"/>
      <c r="J511" s="46"/>
      <c r="K511" s="46"/>
      <c r="L511" s="46"/>
      <c r="M511" s="45"/>
      <c r="N511" s="44"/>
    </row>
    <row r="512" customFormat="false" ht="15" hidden="false" customHeight="false" outlineLevel="0" collapsed="false">
      <c r="A512" s="44"/>
      <c r="B512" s="45"/>
      <c r="C512" s="45"/>
      <c r="D512" s="44"/>
      <c r="E512" s="44"/>
      <c r="F512" s="46"/>
      <c r="G512" s="46"/>
      <c r="H512" s="46"/>
      <c r="I512" s="46"/>
      <c r="J512" s="46"/>
      <c r="K512" s="46"/>
      <c r="L512" s="46"/>
      <c r="M512" s="45"/>
      <c r="N512" s="44"/>
    </row>
    <row r="513" customFormat="false" ht="15" hidden="false" customHeight="false" outlineLevel="0" collapsed="false">
      <c r="A513" s="44"/>
      <c r="B513" s="45"/>
      <c r="C513" s="45"/>
      <c r="D513" s="44"/>
      <c r="E513" s="44"/>
      <c r="F513" s="46"/>
      <c r="G513" s="46"/>
      <c r="H513" s="46"/>
      <c r="I513" s="46"/>
      <c r="J513" s="46"/>
      <c r="K513" s="46"/>
      <c r="L513" s="46"/>
      <c r="M513" s="45"/>
      <c r="N513" s="44"/>
    </row>
    <row r="514" customFormat="false" ht="15" hidden="false" customHeight="false" outlineLevel="0" collapsed="false">
      <c r="A514" s="44"/>
      <c r="B514" s="45"/>
      <c r="C514" s="45"/>
      <c r="D514" s="44"/>
      <c r="E514" s="44"/>
      <c r="F514" s="46"/>
      <c r="G514" s="46"/>
      <c r="H514" s="46"/>
      <c r="I514" s="46"/>
      <c r="J514" s="46"/>
      <c r="K514" s="46"/>
      <c r="L514" s="46"/>
      <c r="M514" s="45"/>
      <c r="N514" s="44"/>
    </row>
    <row r="515" customFormat="false" ht="15" hidden="false" customHeight="false" outlineLevel="0" collapsed="false">
      <c r="A515" s="44"/>
      <c r="B515" s="45"/>
      <c r="C515" s="45"/>
      <c r="D515" s="44"/>
      <c r="E515" s="44"/>
      <c r="F515" s="46"/>
      <c r="G515" s="46"/>
      <c r="H515" s="46"/>
      <c r="I515" s="46"/>
      <c r="J515" s="46"/>
      <c r="K515" s="46"/>
      <c r="L515" s="46"/>
      <c r="M515" s="45"/>
      <c r="N515" s="44"/>
    </row>
    <row r="516" customFormat="false" ht="15" hidden="false" customHeight="false" outlineLevel="0" collapsed="false">
      <c r="A516" s="44"/>
      <c r="B516" s="45"/>
      <c r="C516" s="45"/>
      <c r="D516" s="44"/>
      <c r="E516" s="44"/>
      <c r="F516" s="46"/>
      <c r="G516" s="46"/>
      <c r="H516" s="46"/>
      <c r="I516" s="46"/>
      <c r="J516" s="46"/>
      <c r="K516" s="46"/>
      <c r="L516" s="46"/>
      <c r="M516" s="45"/>
      <c r="N516" s="44"/>
    </row>
    <row r="517" customFormat="false" ht="15" hidden="false" customHeight="false" outlineLevel="0" collapsed="false">
      <c r="A517" s="44"/>
      <c r="B517" s="45"/>
      <c r="C517" s="45"/>
      <c r="D517" s="44"/>
      <c r="E517" s="44"/>
      <c r="F517" s="46"/>
      <c r="G517" s="46"/>
      <c r="H517" s="46"/>
      <c r="I517" s="46"/>
      <c r="J517" s="46"/>
      <c r="K517" s="46"/>
      <c r="L517" s="46"/>
      <c r="M517" s="45"/>
      <c r="N517" s="44"/>
    </row>
    <row r="518" customFormat="false" ht="15" hidden="false" customHeight="false" outlineLevel="0" collapsed="false">
      <c r="A518" s="44"/>
      <c r="B518" s="45"/>
      <c r="C518" s="45"/>
      <c r="D518" s="44"/>
      <c r="E518" s="44"/>
      <c r="F518" s="46"/>
      <c r="G518" s="46"/>
      <c r="H518" s="46"/>
      <c r="I518" s="46"/>
      <c r="J518" s="46"/>
      <c r="K518" s="46"/>
      <c r="L518" s="46"/>
      <c r="M518" s="45"/>
      <c r="N518" s="44"/>
    </row>
    <row r="519" customFormat="false" ht="15" hidden="false" customHeight="false" outlineLevel="0" collapsed="false">
      <c r="A519" s="44"/>
      <c r="B519" s="45"/>
      <c r="C519" s="45"/>
      <c r="D519" s="44"/>
      <c r="E519" s="44"/>
      <c r="F519" s="46"/>
      <c r="G519" s="46"/>
      <c r="H519" s="46"/>
      <c r="I519" s="46"/>
      <c r="J519" s="46"/>
      <c r="K519" s="46"/>
      <c r="L519" s="46"/>
      <c r="M519" s="45"/>
      <c r="N519" s="44"/>
    </row>
    <row r="520" customFormat="false" ht="15" hidden="false" customHeight="false" outlineLevel="0" collapsed="false">
      <c r="A520" s="44"/>
      <c r="B520" s="45"/>
      <c r="C520" s="45"/>
      <c r="D520" s="44"/>
      <c r="E520" s="44"/>
      <c r="F520" s="46"/>
      <c r="G520" s="46"/>
      <c r="H520" s="46"/>
      <c r="I520" s="46"/>
      <c r="J520" s="46"/>
      <c r="K520" s="46"/>
      <c r="L520" s="46"/>
      <c r="M520" s="45"/>
      <c r="N520" s="44"/>
    </row>
    <row r="521" customFormat="false" ht="15" hidden="false" customHeight="false" outlineLevel="0" collapsed="false">
      <c r="A521" s="44"/>
      <c r="B521" s="45"/>
      <c r="C521" s="45"/>
      <c r="D521" s="44"/>
      <c r="E521" s="44"/>
      <c r="F521" s="46"/>
      <c r="G521" s="46"/>
      <c r="H521" s="46"/>
      <c r="I521" s="46"/>
      <c r="J521" s="46"/>
      <c r="K521" s="46"/>
      <c r="L521" s="46"/>
      <c r="M521" s="45"/>
      <c r="N521" s="44"/>
    </row>
    <row r="522" customFormat="false" ht="15" hidden="false" customHeight="false" outlineLevel="0" collapsed="false">
      <c r="A522" s="44"/>
      <c r="B522" s="45"/>
      <c r="C522" s="45"/>
      <c r="D522" s="44"/>
      <c r="E522" s="44"/>
      <c r="F522" s="46"/>
      <c r="G522" s="46"/>
      <c r="H522" s="46"/>
      <c r="I522" s="46"/>
      <c r="J522" s="46"/>
      <c r="K522" s="46"/>
      <c r="L522" s="46"/>
      <c r="M522" s="45"/>
      <c r="N522" s="44"/>
    </row>
    <row r="523" customFormat="false" ht="15" hidden="false" customHeight="false" outlineLevel="0" collapsed="false">
      <c r="A523" s="44"/>
      <c r="B523" s="45"/>
      <c r="C523" s="45"/>
      <c r="D523" s="44"/>
      <c r="E523" s="44"/>
      <c r="F523" s="46"/>
      <c r="G523" s="46"/>
      <c r="H523" s="46"/>
      <c r="I523" s="46"/>
      <c r="J523" s="46"/>
      <c r="K523" s="46"/>
      <c r="L523" s="46"/>
      <c r="M523" s="45"/>
      <c r="N523" s="44"/>
    </row>
    <row r="524" customFormat="false" ht="15" hidden="false" customHeight="false" outlineLevel="0" collapsed="false">
      <c r="A524" s="44"/>
      <c r="B524" s="45"/>
      <c r="C524" s="45"/>
      <c r="D524" s="44"/>
      <c r="E524" s="44"/>
      <c r="F524" s="46"/>
      <c r="G524" s="46"/>
      <c r="H524" s="46"/>
      <c r="I524" s="46"/>
      <c r="J524" s="46"/>
      <c r="K524" s="46"/>
      <c r="L524" s="46"/>
      <c r="M524" s="45"/>
      <c r="N524" s="44"/>
    </row>
    <row r="525" customFormat="false" ht="15" hidden="false" customHeight="false" outlineLevel="0" collapsed="false">
      <c r="A525" s="44"/>
      <c r="B525" s="45"/>
      <c r="C525" s="45"/>
      <c r="D525" s="44"/>
      <c r="E525" s="44"/>
      <c r="F525" s="46"/>
      <c r="G525" s="46"/>
      <c r="H525" s="46"/>
      <c r="I525" s="46"/>
      <c r="J525" s="46"/>
      <c r="K525" s="46"/>
      <c r="L525" s="46"/>
      <c r="M525" s="45"/>
      <c r="N525" s="44"/>
    </row>
    <row r="526" customFormat="false" ht="15" hidden="false" customHeight="false" outlineLevel="0" collapsed="false">
      <c r="A526" s="44"/>
      <c r="B526" s="45"/>
      <c r="C526" s="45"/>
      <c r="D526" s="44"/>
      <c r="E526" s="44"/>
      <c r="F526" s="46"/>
      <c r="G526" s="46"/>
      <c r="H526" s="46"/>
      <c r="I526" s="46"/>
      <c r="J526" s="46"/>
      <c r="K526" s="46"/>
      <c r="L526" s="46"/>
      <c r="M526" s="45"/>
      <c r="N526" s="44"/>
    </row>
    <row r="527" customFormat="false" ht="15" hidden="false" customHeight="false" outlineLevel="0" collapsed="false">
      <c r="A527" s="44"/>
      <c r="B527" s="45"/>
      <c r="C527" s="45"/>
      <c r="D527" s="44"/>
      <c r="E527" s="44"/>
      <c r="F527" s="46"/>
      <c r="G527" s="46"/>
      <c r="H527" s="46"/>
      <c r="I527" s="46"/>
      <c r="J527" s="46"/>
      <c r="K527" s="46"/>
      <c r="L527" s="46"/>
      <c r="M527" s="45"/>
      <c r="N527" s="44"/>
    </row>
    <row r="528" customFormat="false" ht="15" hidden="false" customHeight="false" outlineLevel="0" collapsed="false">
      <c r="A528" s="44"/>
      <c r="B528" s="45"/>
      <c r="C528" s="45"/>
      <c r="D528" s="44"/>
      <c r="E528" s="44"/>
      <c r="F528" s="46"/>
      <c r="G528" s="46"/>
      <c r="H528" s="46"/>
      <c r="I528" s="46"/>
      <c r="J528" s="46"/>
      <c r="K528" s="46"/>
      <c r="L528" s="46"/>
      <c r="M528" s="45"/>
      <c r="N528" s="44"/>
    </row>
    <row r="529" customFormat="false" ht="15" hidden="false" customHeight="false" outlineLevel="0" collapsed="false">
      <c r="A529" s="44"/>
      <c r="B529" s="45"/>
      <c r="C529" s="45"/>
      <c r="D529" s="44"/>
      <c r="E529" s="44"/>
      <c r="F529" s="46"/>
      <c r="G529" s="46"/>
      <c r="H529" s="46"/>
      <c r="I529" s="46"/>
      <c r="J529" s="46"/>
      <c r="K529" s="46"/>
      <c r="L529" s="46"/>
      <c r="M529" s="45"/>
      <c r="N529" s="44"/>
    </row>
    <row r="530" customFormat="false" ht="15" hidden="false" customHeight="false" outlineLevel="0" collapsed="false">
      <c r="A530" s="44"/>
      <c r="B530" s="45"/>
      <c r="C530" s="45"/>
      <c r="D530" s="44"/>
      <c r="E530" s="44"/>
      <c r="F530" s="46"/>
      <c r="G530" s="46"/>
      <c r="H530" s="46"/>
      <c r="I530" s="46"/>
      <c r="J530" s="46"/>
      <c r="K530" s="46"/>
      <c r="L530" s="46"/>
      <c r="M530" s="45"/>
      <c r="N530" s="44"/>
    </row>
    <row r="531" customFormat="false" ht="15" hidden="false" customHeight="false" outlineLevel="0" collapsed="false">
      <c r="A531" s="44"/>
      <c r="B531" s="45"/>
      <c r="C531" s="45"/>
      <c r="D531" s="44"/>
      <c r="E531" s="44"/>
      <c r="F531" s="46"/>
      <c r="G531" s="46"/>
      <c r="H531" s="46"/>
      <c r="I531" s="46"/>
      <c r="J531" s="46"/>
      <c r="K531" s="46"/>
      <c r="L531" s="46"/>
      <c r="M531" s="45"/>
      <c r="N531" s="44"/>
    </row>
    <row r="532" customFormat="false" ht="15" hidden="false" customHeight="false" outlineLevel="0" collapsed="false">
      <c r="A532" s="44"/>
      <c r="B532" s="45"/>
      <c r="C532" s="45"/>
      <c r="D532" s="44"/>
      <c r="E532" s="44"/>
      <c r="F532" s="46"/>
      <c r="G532" s="46"/>
      <c r="H532" s="46"/>
      <c r="I532" s="46"/>
      <c r="J532" s="46"/>
      <c r="K532" s="46"/>
      <c r="L532" s="46"/>
      <c r="M532" s="45"/>
      <c r="N532" s="44"/>
    </row>
    <row r="533" customFormat="false" ht="15" hidden="false" customHeight="false" outlineLevel="0" collapsed="false">
      <c r="A533" s="44"/>
      <c r="B533" s="45"/>
      <c r="C533" s="45"/>
      <c r="D533" s="44"/>
      <c r="E533" s="44"/>
      <c r="F533" s="46"/>
      <c r="G533" s="46"/>
      <c r="H533" s="46"/>
      <c r="I533" s="46"/>
      <c r="J533" s="46"/>
      <c r="K533" s="46"/>
      <c r="L533" s="46"/>
      <c r="M533" s="45"/>
      <c r="N533" s="44"/>
    </row>
    <row r="534" customFormat="false" ht="15" hidden="false" customHeight="false" outlineLevel="0" collapsed="false">
      <c r="A534" s="44"/>
      <c r="B534" s="45"/>
      <c r="C534" s="45"/>
      <c r="D534" s="44"/>
      <c r="E534" s="44"/>
      <c r="F534" s="46"/>
      <c r="G534" s="46"/>
      <c r="H534" s="46"/>
      <c r="I534" s="46"/>
      <c r="J534" s="46"/>
      <c r="K534" s="46"/>
      <c r="L534" s="46"/>
      <c r="M534" s="45"/>
      <c r="N534" s="44"/>
    </row>
    <row r="535" customFormat="false" ht="15" hidden="false" customHeight="false" outlineLevel="0" collapsed="false">
      <c r="A535" s="44"/>
      <c r="B535" s="45"/>
      <c r="C535" s="45"/>
      <c r="D535" s="44"/>
      <c r="E535" s="44"/>
      <c r="F535" s="46"/>
      <c r="G535" s="46"/>
      <c r="H535" s="46"/>
      <c r="I535" s="46"/>
      <c r="J535" s="46"/>
      <c r="K535" s="46"/>
      <c r="L535" s="46"/>
      <c r="M535" s="45"/>
      <c r="N535" s="44"/>
    </row>
    <row r="536" customFormat="false" ht="15" hidden="false" customHeight="false" outlineLevel="0" collapsed="false">
      <c r="A536" s="44"/>
      <c r="B536" s="45"/>
      <c r="C536" s="45"/>
      <c r="D536" s="44"/>
      <c r="E536" s="44"/>
      <c r="F536" s="46"/>
      <c r="G536" s="46"/>
      <c r="H536" s="46"/>
      <c r="I536" s="46"/>
      <c r="J536" s="46"/>
      <c r="K536" s="46"/>
      <c r="L536" s="46"/>
      <c r="M536" s="45"/>
      <c r="N536" s="44"/>
    </row>
    <row r="537" customFormat="false" ht="15" hidden="false" customHeight="false" outlineLevel="0" collapsed="false">
      <c r="A537" s="44"/>
      <c r="B537" s="45"/>
      <c r="C537" s="45"/>
      <c r="D537" s="44"/>
      <c r="E537" s="44"/>
      <c r="F537" s="46"/>
      <c r="G537" s="46"/>
      <c r="H537" s="46"/>
      <c r="I537" s="46"/>
      <c r="J537" s="46"/>
      <c r="K537" s="46"/>
      <c r="L537" s="46"/>
      <c r="M537" s="45"/>
      <c r="N537" s="44"/>
    </row>
    <row r="538" customFormat="false" ht="15" hidden="false" customHeight="false" outlineLevel="0" collapsed="false">
      <c r="A538" s="44"/>
      <c r="B538" s="45"/>
      <c r="C538" s="45"/>
      <c r="D538" s="44"/>
      <c r="E538" s="44"/>
      <c r="F538" s="46"/>
      <c r="G538" s="46"/>
      <c r="H538" s="46"/>
      <c r="I538" s="46"/>
      <c r="J538" s="46"/>
      <c r="K538" s="46"/>
      <c r="L538" s="46"/>
      <c r="M538" s="45"/>
      <c r="N538" s="44"/>
    </row>
    <row r="539" customFormat="false" ht="15" hidden="false" customHeight="false" outlineLevel="0" collapsed="false">
      <c r="A539" s="44"/>
      <c r="B539" s="45"/>
      <c r="C539" s="45"/>
      <c r="D539" s="44"/>
      <c r="E539" s="44"/>
      <c r="F539" s="46"/>
      <c r="G539" s="46"/>
      <c r="H539" s="46"/>
      <c r="I539" s="46"/>
      <c r="J539" s="46"/>
      <c r="K539" s="46"/>
      <c r="L539" s="46"/>
      <c r="M539" s="45"/>
      <c r="N539" s="44"/>
    </row>
    <row r="540" customFormat="false" ht="15" hidden="false" customHeight="false" outlineLevel="0" collapsed="false">
      <c r="A540" s="44"/>
      <c r="B540" s="45"/>
      <c r="C540" s="45"/>
      <c r="D540" s="44"/>
      <c r="E540" s="44"/>
      <c r="F540" s="46"/>
      <c r="G540" s="46"/>
      <c r="H540" s="46"/>
      <c r="I540" s="46"/>
      <c r="J540" s="46"/>
      <c r="K540" s="46"/>
      <c r="L540" s="46"/>
      <c r="M540" s="45"/>
      <c r="N540" s="44"/>
    </row>
    <row r="541" customFormat="false" ht="15" hidden="false" customHeight="false" outlineLevel="0" collapsed="false">
      <c r="A541" s="44"/>
      <c r="B541" s="45"/>
      <c r="C541" s="45"/>
      <c r="D541" s="44"/>
      <c r="E541" s="44"/>
      <c r="F541" s="46"/>
      <c r="G541" s="46"/>
      <c r="H541" s="46"/>
      <c r="I541" s="46"/>
      <c r="J541" s="46"/>
      <c r="K541" s="46"/>
      <c r="L541" s="46"/>
      <c r="M541" s="45"/>
      <c r="N541" s="44"/>
    </row>
    <row r="542" customFormat="false" ht="15" hidden="false" customHeight="false" outlineLevel="0" collapsed="false">
      <c r="A542" s="44"/>
      <c r="B542" s="45"/>
      <c r="C542" s="45"/>
      <c r="D542" s="44"/>
      <c r="E542" s="44"/>
      <c r="F542" s="46"/>
      <c r="G542" s="46"/>
      <c r="H542" s="46"/>
      <c r="I542" s="46"/>
      <c r="J542" s="46"/>
      <c r="K542" s="46"/>
      <c r="L542" s="46"/>
      <c r="M542" s="45"/>
      <c r="N542" s="44"/>
    </row>
    <row r="543" customFormat="false" ht="15" hidden="false" customHeight="false" outlineLevel="0" collapsed="false">
      <c r="A543" s="44"/>
      <c r="B543" s="45"/>
      <c r="C543" s="45"/>
      <c r="D543" s="44"/>
      <c r="E543" s="44"/>
      <c r="F543" s="46"/>
      <c r="G543" s="46"/>
      <c r="H543" s="46"/>
      <c r="I543" s="46"/>
      <c r="J543" s="46"/>
      <c r="K543" s="46"/>
      <c r="L543" s="46"/>
      <c r="M543" s="45"/>
      <c r="N543" s="44"/>
    </row>
    <row r="544" customFormat="false" ht="15" hidden="false" customHeight="false" outlineLevel="0" collapsed="false">
      <c r="A544" s="44"/>
      <c r="B544" s="45"/>
      <c r="C544" s="45"/>
      <c r="D544" s="44"/>
      <c r="E544" s="44"/>
      <c r="F544" s="46"/>
      <c r="G544" s="46"/>
      <c r="H544" s="46"/>
      <c r="I544" s="46"/>
      <c r="J544" s="46"/>
      <c r="K544" s="46"/>
      <c r="L544" s="46"/>
      <c r="M544" s="45"/>
      <c r="N544" s="44"/>
    </row>
    <row r="545" customFormat="false" ht="15" hidden="false" customHeight="false" outlineLevel="0" collapsed="false">
      <c r="A545" s="44"/>
      <c r="B545" s="45"/>
      <c r="C545" s="45"/>
      <c r="D545" s="44"/>
      <c r="E545" s="44"/>
      <c r="F545" s="46"/>
      <c r="G545" s="46"/>
      <c r="H545" s="46"/>
      <c r="I545" s="46"/>
      <c r="J545" s="46"/>
      <c r="K545" s="46"/>
      <c r="L545" s="46"/>
      <c r="M545" s="45"/>
      <c r="N545" s="44"/>
    </row>
    <row r="546" customFormat="false" ht="15" hidden="false" customHeight="false" outlineLevel="0" collapsed="false">
      <c r="A546" s="44"/>
      <c r="B546" s="45"/>
      <c r="C546" s="45"/>
      <c r="D546" s="44"/>
      <c r="E546" s="44"/>
      <c r="F546" s="46"/>
      <c r="G546" s="46"/>
      <c r="H546" s="46"/>
      <c r="I546" s="46"/>
      <c r="J546" s="46"/>
      <c r="K546" s="46"/>
      <c r="L546" s="46"/>
      <c r="M546" s="45"/>
      <c r="N546" s="44"/>
    </row>
    <row r="547" customFormat="false" ht="15" hidden="false" customHeight="false" outlineLevel="0" collapsed="false">
      <c r="A547" s="44"/>
      <c r="B547" s="45"/>
      <c r="C547" s="45"/>
      <c r="D547" s="44"/>
      <c r="E547" s="44"/>
      <c r="F547" s="46"/>
      <c r="G547" s="46"/>
      <c r="H547" s="46"/>
      <c r="I547" s="46"/>
      <c r="J547" s="46"/>
      <c r="K547" s="46"/>
      <c r="L547" s="46"/>
      <c r="M547" s="45"/>
      <c r="N547" s="44"/>
    </row>
    <row r="548" customFormat="false" ht="15" hidden="false" customHeight="false" outlineLevel="0" collapsed="false">
      <c r="A548" s="44"/>
      <c r="B548" s="45"/>
      <c r="C548" s="45"/>
      <c r="D548" s="44"/>
      <c r="E548" s="44"/>
      <c r="F548" s="46"/>
      <c r="G548" s="46"/>
      <c r="H548" s="46"/>
      <c r="I548" s="46"/>
      <c r="J548" s="46"/>
      <c r="K548" s="46"/>
      <c r="L548" s="46"/>
      <c r="M548" s="45"/>
      <c r="N548" s="44"/>
    </row>
    <row r="549" customFormat="false" ht="15" hidden="false" customHeight="false" outlineLevel="0" collapsed="false">
      <c r="A549" s="44"/>
      <c r="B549" s="45"/>
      <c r="C549" s="45"/>
      <c r="D549" s="44"/>
      <c r="E549" s="44"/>
      <c r="F549" s="46"/>
      <c r="G549" s="46"/>
      <c r="H549" s="46"/>
      <c r="I549" s="46"/>
      <c r="J549" s="46"/>
      <c r="K549" s="46"/>
      <c r="L549" s="46"/>
      <c r="M549" s="45"/>
      <c r="N549" s="44"/>
    </row>
    <row r="550" customFormat="false" ht="15" hidden="false" customHeight="false" outlineLevel="0" collapsed="false">
      <c r="A550" s="44"/>
      <c r="B550" s="45"/>
      <c r="C550" s="45"/>
      <c r="D550" s="44"/>
      <c r="E550" s="44"/>
      <c r="F550" s="46"/>
      <c r="G550" s="46"/>
      <c r="H550" s="46"/>
      <c r="I550" s="46"/>
      <c r="J550" s="46"/>
      <c r="K550" s="46"/>
      <c r="L550" s="46"/>
      <c r="M550" s="45"/>
      <c r="N550" s="44"/>
    </row>
    <row r="551" customFormat="false" ht="15" hidden="false" customHeight="false" outlineLevel="0" collapsed="false">
      <c r="A551" s="44"/>
      <c r="B551" s="45"/>
      <c r="C551" s="45"/>
      <c r="D551" s="44"/>
      <c r="E551" s="44"/>
      <c r="F551" s="46"/>
      <c r="G551" s="46"/>
      <c r="H551" s="46"/>
      <c r="I551" s="46"/>
      <c r="J551" s="46"/>
      <c r="K551" s="46"/>
      <c r="L551" s="46"/>
      <c r="M551" s="45"/>
      <c r="N551" s="44"/>
    </row>
    <row r="552" customFormat="false" ht="15" hidden="false" customHeight="false" outlineLevel="0" collapsed="false">
      <c r="A552" s="44"/>
      <c r="B552" s="45"/>
      <c r="C552" s="45"/>
      <c r="D552" s="44"/>
      <c r="E552" s="44"/>
      <c r="F552" s="46"/>
      <c r="G552" s="46"/>
      <c r="H552" s="46"/>
      <c r="I552" s="46"/>
      <c r="J552" s="46"/>
      <c r="K552" s="46"/>
      <c r="L552" s="46"/>
      <c r="M552" s="45"/>
      <c r="N552" s="44"/>
    </row>
    <row r="553" customFormat="false" ht="15" hidden="false" customHeight="false" outlineLevel="0" collapsed="false">
      <c r="A553" s="44"/>
      <c r="B553" s="45"/>
      <c r="C553" s="45"/>
      <c r="D553" s="44"/>
      <c r="E553" s="44"/>
      <c r="F553" s="46"/>
      <c r="G553" s="46"/>
      <c r="H553" s="46"/>
      <c r="I553" s="46"/>
      <c r="J553" s="46"/>
      <c r="K553" s="46"/>
      <c r="L553" s="46"/>
      <c r="M553" s="45"/>
      <c r="N553" s="44"/>
    </row>
    <row r="554" customFormat="false" ht="15" hidden="false" customHeight="false" outlineLevel="0" collapsed="false">
      <c r="A554" s="44"/>
      <c r="B554" s="45"/>
      <c r="C554" s="45"/>
      <c r="D554" s="44"/>
      <c r="E554" s="44"/>
      <c r="F554" s="46"/>
      <c r="G554" s="46"/>
      <c r="H554" s="46"/>
      <c r="I554" s="46"/>
      <c r="J554" s="46"/>
      <c r="K554" s="46"/>
      <c r="L554" s="46"/>
      <c r="M554" s="45"/>
      <c r="N554" s="44"/>
    </row>
    <row r="555" customFormat="false" ht="15" hidden="false" customHeight="false" outlineLevel="0" collapsed="false">
      <c r="A555" s="44"/>
      <c r="B555" s="45"/>
      <c r="C555" s="45"/>
      <c r="D555" s="44"/>
      <c r="E555" s="44"/>
      <c r="F555" s="46"/>
      <c r="G555" s="46"/>
      <c r="H555" s="46"/>
      <c r="I555" s="46"/>
      <c r="J555" s="46"/>
      <c r="K555" s="46"/>
      <c r="L555" s="46"/>
      <c r="M555" s="45"/>
      <c r="N555" s="44"/>
    </row>
    <row r="556" customFormat="false" ht="15" hidden="false" customHeight="false" outlineLevel="0" collapsed="false">
      <c r="A556" s="44"/>
      <c r="B556" s="45"/>
      <c r="C556" s="45"/>
      <c r="D556" s="44"/>
      <c r="E556" s="44"/>
      <c r="F556" s="46"/>
      <c r="G556" s="46"/>
      <c r="H556" s="46"/>
      <c r="I556" s="46"/>
      <c r="J556" s="46"/>
      <c r="K556" s="46"/>
      <c r="L556" s="46"/>
      <c r="M556" s="45"/>
      <c r="N556" s="44"/>
    </row>
    <row r="557" customFormat="false" ht="15" hidden="false" customHeight="false" outlineLevel="0" collapsed="false">
      <c r="A557" s="44"/>
      <c r="B557" s="45"/>
      <c r="C557" s="45"/>
      <c r="D557" s="44"/>
      <c r="E557" s="44"/>
      <c r="F557" s="46"/>
      <c r="G557" s="46"/>
      <c r="H557" s="46"/>
      <c r="I557" s="46"/>
      <c r="J557" s="46"/>
      <c r="K557" s="46"/>
      <c r="L557" s="46"/>
      <c r="M557" s="45"/>
      <c r="N557" s="44"/>
    </row>
    <row r="558" customFormat="false" ht="15" hidden="false" customHeight="false" outlineLevel="0" collapsed="false">
      <c r="A558" s="44"/>
      <c r="B558" s="45"/>
      <c r="C558" s="45"/>
      <c r="D558" s="44"/>
      <c r="E558" s="44"/>
      <c r="F558" s="46"/>
      <c r="G558" s="46"/>
      <c r="H558" s="46"/>
      <c r="I558" s="46"/>
      <c r="J558" s="46"/>
      <c r="K558" s="46"/>
      <c r="L558" s="46"/>
      <c r="M558" s="45"/>
      <c r="N558" s="44"/>
    </row>
    <row r="559" customFormat="false" ht="15" hidden="false" customHeight="false" outlineLevel="0" collapsed="false">
      <c r="A559" s="44"/>
      <c r="B559" s="45"/>
      <c r="C559" s="45"/>
      <c r="D559" s="44"/>
      <c r="E559" s="44"/>
      <c r="F559" s="46"/>
      <c r="G559" s="46"/>
      <c r="H559" s="46"/>
      <c r="I559" s="46"/>
      <c r="J559" s="46"/>
      <c r="K559" s="46"/>
      <c r="L559" s="46"/>
      <c r="M559" s="45"/>
      <c r="N559" s="44"/>
    </row>
    <row r="560" customFormat="false" ht="15" hidden="false" customHeight="false" outlineLevel="0" collapsed="false">
      <c r="A560" s="44"/>
      <c r="B560" s="45"/>
      <c r="C560" s="45"/>
      <c r="D560" s="44"/>
      <c r="E560" s="44"/>
      <c r="F560" s="46"/>
      <c r="G560" s="46"/>
      <c r="H560" s="46"/>
      <c r="I560" s="46"/>
      <c r="J560" s="46"/>
      <c r="K560" s="46"/>
      <c r="L560" s="46"/>
      <c r="M560" s="45"/>
      <c r="N560" s="44"/>
    </row>
    <row r="561" customFormat="false" ht="15" hidden="false" customHeight="false" outlineLevel="0" collapsed="false">
      <c r="A561" s="44"/>
      <c r="B561" s="45"/>
      <c r="C561" s="45"/>
      <c r="D561" s="44"/>
      <c r="E561" s="44"/>
      <c r="F561" s="46"/>
      <c r="G561" s="46"/>
      <c r="H561" s="46"/>
      <c r="I561" s="46"/>
      <c r="J561" s="46"/>
      <c r="K561" s="46"/>
      <c r="L561" s="46"/>
      <c r="M561" s="45"/>
      <c r="N561" s="44"/>
    </row>
    <row r="562" customFormat="false" ht="15" hidden="false" customHeight="false" outlineLevel="0" collapsed="false">
      <c r="A562" s="44"/>
      <c r="B562" s="45"/>
      <c r="C562" s="45"/>
      <c r="D562" s="44"/>
      <c r="E562" s="44"/>
      <c r="F562" s="46"/>
      <c r="G562" s="46"/>
      <c r="H562" s="46"/>
      <c r="I562" s="46"/>
      <c r="J562" s="46"/>
      <c r="K562" s="46"/>
      <c r="L562" s="46"/>
      <c r="M562" s="45"/>
      <c r="N562" s="44"/>
    </row>
    <row r="563" customFormat="false" ht="15" hidden="false" customHeight="false" outlineLevel="0" collapsed="false">
      <c r="A563" s="44"/>
      <c r="B563" s="45"/>
      <c r="C563" s="45"/>
      <c r="D563" s="44"/>
      <c r="E563" s="44"/>
      <c r="F563" s="46"/>
      <c r="G563" s="46"/>
      <c r="H563" s="46"/>
      <c r="I563" s="46"/>
      <c r="J563" s="46"/>
      <c r="K563" s="46"/>
      <c r="L563" s="46"/>
      <c r="M563" s="45"/>
      <c r="N563" s="44"/>
    </row>
    <row r="564" customFormat="false" ht="15" hidden="false" customHeight="false" outlineLevel="0" collapsed="false">
      <c r="A564" s="44"/>
      <c r="B564" s="45"/>
      <c r="C564" s="45"/>
      <c r="D564" s="44"/>
      <c r="E564" s="44"/>
      <c r="F564" s="46"/>
      <c r="G564" s="46"/>
      <c r="H564" s="46"/>
      <c r="I564" s="46"/>
      <c r="J564" s="46"/>
      <c r="K564" s="46"/>
      <c r="L564" s="46"/>
      <c r="M564" s="45"/>
      <c r="N564" s="44"/>
    </row>
    <row r="565" customFormat="false" ht="15" hidden="false" customHeight="false" outlineLevel="0" collapsed="false">
      <c r="A565" s="44"/>
      <c r="B565" s="45"/>
      <c r="C565" s="45"/>
      <c r="D565" s="44"/>
      <c r="E565" s="44"/>
      <c r="F565" s="46"/>
      <c r="G565" s="46"/>
      <c r="H565" s="46"/>
      <c r="I565" s="46"/>
      <c r="J565" s="46"/>
      <c r="K565" s="46"/>
      <c r="L565" s="46"/>
      <c r="M565" s="45"/>
      <c r="N565" s="44"/>
    </row>
    <row r="566" customFormat="false" ht="15" hidden="false" customHeight="false" outlineLevel="0" collapsed="false">
      <c r="A566" s="44"/>
      <c r="B566" s="45"/>
      <c r="C566" s="45"/>
      <c r="D566" s="44"/>
      <c r="E566" s="44"/>
      <c r="F566" s="46"/>
      <c r="G566" s="46"/>
      <c r="H566" s="46"/>
      <c r="I566" s="46"/>
      <c r="J566" s="46"/>
      <c r="K566" s="46"/>
      <c r="L566" s="46"/>
      <c r="M566" s="45"/>
      <c r="N566" s="44"/>
    </row>
    <row r="567" customFormat="false" ht="15" hidden="false" customHeight="false" outlineLevel="0" collapsed="false">
      <c r="A567" s="44"/>
      <c r="B567" s="45"/>
      <c r="C567" s="45"/>
      <c r="D567" s="44"/>
      <c r="E567" s="44"/>
      <c r="F567" s="46"/>
      <c r="G567" s="46"/>
      <c r="H567" s="46"/>
      <c r="I567" s="46"/>
      <c r="J567" s="46"/>
      <c r="K567" s="46"/>
      <c r="L567" s="46"/>
      <c r="M567" s="45"/>
      <c r="N567" s="44"/>
    </row>
    <row r="568" customFormat="false" ht="15" hidden="false" customHeight="false" outlineLevel="0" collapsed="false">
      <c r="A568" s="44"/>
      <c r="B568" s="45"/>
      <c r="C568" s="45"/>
      <c r="D568" s="44"/>
      <c r="E568" s="44"/>
      <c r="F568" s="46"/>
      <c r="G568" s="46"/>
      <c r="H568" s="46"/>
      <c r="I568" s="46"/>
      <c r="J568" s="46"/>
      <c r="K568" s="46"/>
      <c r="L568" s="46"/>
      <c r="M568" s="45"/>
      <c r="N568" s="44"/>
    </row>
    <row r="569" customFormat="false" ht="15" hidden="false" customHeight="false" outlineLevel="0" collapsed="false">
      <c r="A569" s="44"/>
      <c r="B569" s="45"/>
      <c r="C569" s="45"/>
      <c r="D569" s="44"/>
      <c r="E569" s="44"/>
      <c r="F569" s="46"/>
      <c r="G569" s="46"/>
      <c r="H569" s="46"/>
      <c r="I569" s="46"/>
      <c r="J569" s="46"/>
      <c r="K569" s="46"/>
      <c r="L569" s="46"/>
      <c r="M569" s="45"/>
      <c r="N569" s="44"/>
    </row>
    <row r="570" customFormat="false" ht="15" hidden="false" customHeight="false" outlineLevel="0" collapsed="false">
      <c r="A570" s="44"/>
      <c r="B570" s="45"/>
      <c r="C570" s="45"/>
      <c r="D570" s="44"/>
      <c r="E570" s="44"/>
      <c r="F570" s="46"/>
      <c r="G570" s="46"/>
      <c r="H570" s="46"/>
      <c r="I570" s="46"/>
      <c r="J570" s="46"/>
      <c r="K570" s="46"/>
      <c r="L570" s="46"/>
      <c r="M570" s="45"/>
      <c r="N570" s="44"/>
    </row>
    <row r="571" customFormat="false" ht="15" hidden="false" customHeight="false" outlineLevel="0" collapsed="false">
      <c r="A571" s="44"/>
      <c r="B571" s="45"/>
      <c r="C571" s="45"/>
      <c r="D571" s="44"/>
      <c r="E571" s="44"/>
      <c r="F571" s="46"/>
      <c r="G571" s="46"/>
      <c r="H571" s="46"/>
      <c r="I571" s="46"/>
      <c r="J571" s="46"/>
      <c r="K571" s="46"/>
      <c r="L571" s="46"/>
      <c r="M571" s="45"/>
      <c r="N571" s="44"/>
    </row>
    <row r="572" customFormat="false" ht="15" hidden="false" customHeight="false" outlineLevel="0" collapsed="false">
      <c r="A572" s="44"/>
      <c r="B572" s="45"/>
      <c r="C572" s="45"/>
      <c r="D572" s="44"/>
      <c r="E572" s="44"/>
      <c r="F572" s="46"/>
      <c r="G572" s="46"/>
      <c r="H572" s="46"/>
      <c r="I572" s="46"/>
      <c r="J572" s="46"/>
      <c r="K572" s="46"/>
      <c r="L572" s="46"/>
      <c r="M572" s="45"/>
      <c r="N572" s="44"/>
    </row>
    <row r="573" customFormat="false" ht="15" hidden="false" customHeight="false" outlineLevel="0" collapsed="false">
      <c r="A573" s="44"/>
      <c r="B573" s="45"/>
      <c r="C573" s="45"/>
      <c r="D573" s="44"/>
      <c r="E573" s="44"/>
      <c r="F573" s="46"/>
      <c r="G573" s="46"/>
      <c r="H573" s="46"/>
      <c r="I573" s="46"/>
      <c r="J573" s="46"/>
      <c r="K573" s="46"/>
      <c r="L573" s="46"/>
      <c r="M573" s="45"/>
      <c r="N573" s="44"/>
    </row>
    <row r="574" customFormat="false" ht="15" hidden="false" customHeight="false" outlineLevel="0" collapsed="false">
      <c r="A574" s="44"/>
      <c r="B574" s="45"/>
      <c r="C574" s="45"/>
      <c r="D574" s="44"/>
      <c r="E574" s="44"/>
      <c r="F574" s="46"/>
      <c r="G574" s="46"/>
      <c r="H574" s="46"/>
      <c r="I574" s="46"/>
      <c r="J574" s="46"/>
      <c r="K574" s="46"/>
      <c r="L574" s="46"/>
      <c r="M574" s="45"/>
      <c r="N574" s="44"/>
    </row>
    <row r="575" customFormat="false" ht="15" hidden="false" customHeight="false" outlineLevel="0" collapsed="false">
      <c r="A575" s="44"/>
      <c r="B575" s="45"/>
      <c r="C575" s="45"/>
      <c r="D575" s="44"/>
      <c r="E575" s="44"/>
      <c r="F575" s="46"/>
      <c r="G575" s="46"/>
      <c r="H575" s="46"/>
      <c r="I575" s="46"/>
      <c r="J575" s="46"/>
      <c r="K575" s="46"/>
      <c r="L575" s="46"/>
      <c r="M575" s="45"/>
      <c r="N575" s="44"/>
    </row>
    <row r="576" customFormat="false" ht="15" hidden="false" customHeight="false" outlineLevel="0" collapsed="false">
      <c r="A576" s="44"/>
      <c r="B576" s="45"/>
      <c r="C576" s="45"/>
      <c r="D576" s="44"/>
      <c r="E576" s="44"/>
      <c r="F576" s="46"/>
      <c r="G576" s="46"/>
      <c r="H576" s="46"/>
      <c r="I576" s="46"/>
      <c r="J576" s="46"/>
      <c r="K576" s="46"/>
      <c r="L576" s="46"/>
      <c r="M576" s="45"/>
      <c r="N576" s="44"/>
    </row>
    <row r="577" customFormat="false" ht="15" hidden="false" customHeight="false" outlineLevel="0" collapsed="false">
      <c r="A577" s="44"/>
      <c r="B577" s="45"/>
      <c r="C577" s="45"/>
      <c r="D577" s="44"/>
      <c r="E577" s="44"/>
      <c r="F577" s="46"/>
      <c r="G577" s="46"/>
      <c r="H577" s="46"/>
      <c r="I577" s="46"/>
      <c r="J577" s="46"/>
      <c r="K577" s="46"/>
      <c r="L577" s="46"/>
      <c r="M577" s="45"/>
      <c r="N577" s="44"/>
    </row>
    <row r="578" customFormat="false" ht="15" hidden="false" customHeight="false" outlineLevel="0" collapsed="false">
      <c r="A578" s="44"/>
      <c r="B578" s="45"/>
      <c r="C578" s="45"/>
      <c r="D578" s="44"/>
      <c r="E578" s="44"/>
      <c r="F578" s="46"/>
      <c r="G578" s="46"/>
      <c r="H578" s="46"/>
      <c r="I578" s="46"/>
      <c r="J578" s="46"/>
      <c r="K578" s="46"/>
      <c r="L578" s="46"/>
      <c r="M578" s="45"/>
      <c r="N578" s="44"/>
    </row>
    <row r="579" customFormat="false" ht="15" hidden="false" customHeight="false" outlineLevel="0" collapsed="false">
      <c r="A579" s="44"/>
      <c r="B579" s="45"/>
      <c r="C579" s="45"/>
      <c r="D579" s="44"/>
      <c r="E579" s="44"/>
      <c r="F579" s="46"/>
      <c r="G579" s="46"/>
      <c r="H579" s="46"/>
      <c r="I579" s="46"/>
      <c r="J579" s="46"/>
      <c r="K579" s="46"/>
      <c r="L579" s="46"/>
      <c r="M579" s="45"/>
      <c r="N579" s="44"/>
    </row>
    <row r="580" customFormat="false" ht="15" hidden="false" customHeight="false" outlineLevel="0" collapsed="false">
      <c r="A580" s="44"/>
      <c r="B580" s="45"/>
      <c r="C580" s="45"/>
      <c r="D580" s="44"/>
      <c r="E580" s="44"/>
      <c r="F580" s="46"/>
      <c r="G580" s="46"/>
      <c r="H580" s="46"/>
      <c r="I580" s="46"/>
      <c r="J580" s="46"/>
      <c r="K580" s="46"/>
      <c r="L580" s="46"/>
      <c r="M580" s="45"/>
      <c r="N580" s="44"/>
    </row>
    <row r="581" customFormat="false" ht="15" hidden="false" customHeight="false" outlineLevel="0" collapsed="false">
      <c r="A581" s="44"/>
      <c r="B581" s="45"/>
      <c r="C581" s="45"/>
      <c r="D581" s="44"/>
      <c r="E581" s="44"/>
      <c r="F581" s="46"/>
      <c r="G581" s="46"/>
      <c r="H581" s="46"/>
      <c r="I581" s="46"/>
      <c r="J581" s="46"/>
      <c r="K581" s="46"/>
      <c r="L581" s="46"/>
      <c r="M581" s="45"/>
      <c r="N581" s="44"/>
    </row>
    <row r="582" customFormat="false" ht="15" hidden="false" customHeight="false" outlineLevel="0" collapsed="false">
      <c r="A582" s="44"/>
      <c r="B582" s="45"/>
      <c r="C582" s="45"/>
      <c r="D582" s="44"/>
      <c r="E582" s="44"/>
      <c r="F582" s="46"/>
      <c r="G582" s="46"/>
      <c r="H582" s="46"/>
      <c r="I582" s="46"/>
      <c r="J582" s="46"/>
      <c r="K582" s="46"/>
      <c r="L582" s="46"/>
      <c r="M582" s="45"/>
      <c r="N582" s="44"/>
    </row>
    <row r="583" customFormat="false" ht="15" hidden="false" customHeight="false" outlineLevel="0" collapsed="false">
      <c r="A583" s="44"/>
      <c r="B583" s="45"/>
      <c r="C583" s="45"/>
      <c r="D583" s="44"/>
      <c r="E583" s="44"/>
      <c r="F583" s="46"/>
      <c r="G583" s="46"/>
      <c r="H583" s="46"/>
      <c r="I583" s="46"/>
      <c r="J583" s="46"/>
      <c r="K583" s="46"/>
      <c r="L583" s="46"/>
      <c r="M583" s="45"/>
      <c r="N583" s="44"/>
    </row>
    <row r="584" customFormat="false" ht="15" hidden="false" customHeight="false" outlineLevel="0" collapsed="false">
      <c r="A584" s="44"/>
      <c r="B584" s="45"/>
      <c r="C584" s="45"/>
      <c r="D584" s="44"/>
      <c r="E584" s="44"/>
      <c r="F584" s="46"/>
      <c r="G584" s="46"/>
      <c r="H584" s="46"/>
      <c r="I584" s="46"/>
      <c r="J584" s="46"/>
      <c r="K584" s="46"/>
      <c r="L584" s="46"/>
      <c r="M584" s="45"/>
      <c r="N584" s="44"/>
    </row>
    <row r="585" customFormat="false" ht="15" hidden="false" customHeight="false" outlineLevel="0" collapsed="false">
      <c r="A585" s="44"/>
      <c r="B585" s="45"/>
      <c r="C585" s="45"/>
      <c r="D585" s="44"/>
      <c r="E585" s="44"/>
      <c r="F585" s="46"/>
      <c r="G585" s="46"/>
      <c r="H585" s="46"/>
      <c r="I585" s="46"/>
      <c r="J585" s="46"/>
      <c r="K585" s="46"/>
      <c r="L585" s="46"/>
      <c r="M585" s="45"/>
      <c r="N585" s="44"/>
    </row>
    <row r="586" customFormat="false" ht="15" hidden="false" customHeight="false" outlineLevel="0" collapsed="false">
      <c r="A586" s="44"/>
      <c r="B586" s="45"/>
      <c r="C586" s="45"/>
      <c r="D586" s="44"/>
      <c r="E586" s="44"/>
      <c r="F586" s="46"/>
      <c r="G586" s="46"/>
      <c r="H586" s="46"/>
      <c r="I586" s="46"/>
      <c r="J586" s="46"/>
      <c r="K586" s="46"/>
      <c r="L586" s="46"/>
      <c r="M586" s="45"/>
      <c r="N586" s="44"/>
    </row>
    <row r="587" customFormat="false" ht="15" hidden="false" customHeight="false" outlineLevel="0" collapsed="false">
      <c r="A587" s="44"/>
      <c r="B587" s="45"/>
      <c r="C587" s="45"/>
      <c r="D587" s="44"/>
      <c r="E587" s="44"/>
      <c r="F587" s="46"/>
      <c r="G587" s="46"/>
      <c r="H587" s="46"/>
      <c r="I587" s="46"/>
      <c r="J587" s="46"/>
      <c r="K587" s="46"/>
      <c r="L587" s="46"/>
      <c r="M587" s="45"/>
      <c r="N587" s="44"/>
    </row>
    <row r="588" customFormat="false" ht="15" hidden="false" customHeight="false" outlineLevel="0" collapsed="false">
      <c r="A588" s="44"/>
      <c r="B588" s="45"/>
      <c r="C588" s="45"/>
      <c r="D588" s="44"/>
      <c r="E588" s="44"/>
      <c r="F588" s="46"/>
      <c r="G588" s="46"/>
      <c r="H588" s="46"/>
      <c r="I588" s="46"/>
      <c r="J588" s="46"/>
      <c r="K588" s="46"/>
      <c r="L588" s="46"/>
      <c r="M588" s="45"/>
      <c r="N588" s="44"/>
    </row>
    <row r="589" customFormat="false" ht="15" hidden="false" customHeight="false" outlineLevel="0" collapsed="false">
      <c r="A589" s="44"/>
      <c r="B589" s="45"/>
      <c r="C589" s="45"/>
      <c r="D589" s="44"/>
      <c r="E589" s="44"/>
      <c r="F589" s="46"/>
      <c r="G589" s="46"/>
      <c r="H589" s="46"/>
      <c r="I589" s="46"/>
      <c r="J589" s="46"/>
      <c r="K589" s="46"/>
      <c r="L589" s="46"/>
      <c r="M589" s="45"/>
      <c r="N589" s="44"/>
    </row>
    <row r="590" customFormat="false" ht="15" hidden="false" customHeight="false" outlineLevel="0" collapsed="false">
      <c r="A590" s="44"/>
      <c r="B590" s="45"/>
      <c r="C590" s="45"/>
      <c r="D590" s="44"/>
      <c r="E590" s="44"/>
      <c r="F590" s="46"/>
      <c r="G590" s="46"/>
      <c r="H590" s="46"/>
      <c r="I590" s="46"/>
      <c r="J590" s="46"/>
      <c r="K590" s="46"/>
      <c r="L590" s="46"/>
      <c r="M590" s="45"/>
      <c r="N590" s="44"/>
    </row>
    <row r="591" customFormat="false" ht="15" hidden="false" customHeight="false" outlineLevel="0" collapsed="false">
      <c r="A591" s="44"/>
      <c r="B591" s="45"/>
      <c r="C591" s="45"/>
      <c r="D591" s="44"/>
      <c r="E591" s="44"/>
      <c r="F591" s="46"/>
      <c r="G591" s="46"/>
      <c r="H591" s="46"/>
      <c r="I591" s="46"/>
      <c r="J591" s="46"/>
      <c r="K591" s="46"/>
      <c r="L591" s="46"/>
      <c r="M591" s="45"/>
      <c r="N591" s="44"/>
    </row>
    <row r="592" customFormat="false" ht="15" hidden="false" customHeight="false" outlineLevel="0" collapsed="false">
      <c r="A592" s="44"/>
      <c r="B592" s="45"/>
      <c r="C592" s="45"/>
      <c r="D592" s="44"/>
      <c r="E592" s="44"/>
      <c r="F592" s="46"/>
      <c r="G592" s="46"/>
      <c r="H592" s="46"/>
      <c r="I592" s="46"/>
      <c r="J592" s="46"/>
      <c r="K592" s="46"/>
      <c r="L592" s="46"/>
      <c r="M592" s="45"/>
      <c r="N592" s="44"/>
    </row>
    <row r="593" customFormat="false" ht="15" hidden="false" customHeight="false" outlineLevel="0" collapsed="false">
      <c r="A593" s="44"/>
      <c r="B593" s="45"/>
      <c r="C593" s="45"/>
      <c r="D593" s="44"/>
      <c r="E593" s="44"/>
      <c r="F593" s="46"/>
      <c r="G593" s="46"/>
      <c r="H593" s="46"/>
      <c r="I593" s="46"/>
      <c r="J593" s="46"/>
      <c r="K593" s="46"/>
      <c r="L593" s="46"/>
      <c r="M593" s="45"/>
      <c r="N593" s="44"/>
    </row>
    <row r="594" customFormat="false" ht="15" hidden="false" customHeight="false" outlineLevel="0" collapsed="false">
      <c r="A594" s="44"/>
      <c r="B594" s="45"/>
      <c r="C594" s="45"/>
      <c r="D594" s="44"/>
      <c r="E594" s="44"/>
      <c r="F594" s="46"/>
      <c r="G594" s="46"/>
      <c r="H594" s="46"/>
      <c r="I594" s="46"/>
      <c r="J594" s="46"/>
      <c r="K594" s="46"/>
      <c r="L594" s="46"/>
      <c r="M594" s="45"/>
      <c r="N594" s="44"/>
    </row>
    <row r="595" customFormat="false" ht="15" hidden="false" customHeight="false" outlineLevel="0" collapsed="false">
      <c r="A595" s="44"/>
      <c r="B595" s="45"/>
      <c r="C595" s="45"/>
      <c r="D595" s="44"/>
      <c r="E595" s="44"/>
      <c r="F595" s="46"/>
      <c r="G595" s="46"/>
      <c r="H595" s="46"/>
      <c r="I595" s="46"/>
      <c r="J595" s="46"/>
      <c r="K595" s="46"/>
      <c r="L595" s="46"/>
      <c r="M595" s="45"/>
      <c r="N595" s="44"/>
    </row>
    <row r="596" customFormat="false" ht="15" hidden="false" customHeight="false" outlineLevel="0" collapsed="false">
      <c r="A596" s="44"/>
      <c r="B596" s="45"/>
      <c r="C596" s="45"/>
      <c r="D596" s="44"/>
      <c r="E596" s="44"/>
      <c r="F596" s="46"/>
      <c r="G596" s="46"/>
      <c r="H596" s="46"/>
      <c r="I596" s="46"/>
      <c r="J596" s="46"/>
      <c r="K596" s="46"/>
      <c r="L596" s="46"/>
      <c r="M596" s="45"/>
      <c r="N596" s="44"/>
    </row>
    <row r="597" customFormat="false" ht="15" hidden="false" customHeight="false" outlineLevel="0" collapsed="false">
      <c r="A597" s="44"/>
      <c r="B597" s="45"/>
      <c r="C597" s="45"/>
      <c r="D597" s="44"/>
      <c r="E597" s="44"/>
      <c r="F597" s="46"/>
      <c r="G597" s="46"/>
      <c r="H597" s="46"/>
      <c r="I597" s="46"/>
      <c r="J597" s="46"/>
      <c r="K597" s="46"/>
      <c r="L597" s="46"/>
      <c r="M597" s="45"/>
      <c r="N597" s="44"/>
    </row>
    <row r="598" customFormat="false" ht="15" hidden="false" customHeight="false" outlineLevel="0" collapsed="false">
      <c r="A598" s="44"/>
      <c r="B598" s="45"/>
      <c r="C598" s="45"/>
      <c r="D598" s="44"/>
      <c r="E598" s="44"/>
      <c r="F598" s="46"/>
      <c r="G598" s="46"/>
      <c r="H598" s="46"/>
      <c r="I598" s="46"/>
      <c r="J598" s="46"/>
      <c r="K598" s="46"/>
      <c r="L598" s="46"/>
      <c r="M598" s="45"/>
      <c r="N598" s="44"/>
    </row>
    <row r="599" customFormat="false" ht="15" hidden="false" customHeight="false" outlineLevel="0" collapsed="false">
      <c r="A599" s="44"/>
      <c r="B599" s="45"/>
      <c r="C599" s="45"/>
      <c r="D599" s="44"/>
      <c r="E599" s="44"/>
      <c r="F599" s="46"/>
      <c r="G599" s="46"/>
      <c r="H599" s="46"/>
      <c r="I599" s="46"/>
      <c r="J599" s="46"/>
      <c r="K599" s="46"/>
      <c r="L599" s="46"/>
      <c r="M599" s="45"/>
      <c r="N599" s="44"/>
    </row>
    <row r="600" customFormat="false" ht="15" hidden="false" customHeight="false" outlineLevel="0" collapsed="false">
      <c r="A600" s="44"/>
      <c r="B600" s="45"/>
      <c r="C600" s="45"/>
      <c r="D600" s="44"/>
      <c r="E600" s="44"/>
      <c r="F600" s="46"/>
      <c r="G600" s="46"/>
      <c r="H600" s="46"/>
      <c r="I600" s="46"/>
      <c r="J600" s="46"/>
      <c r="K600" s="46"/>
      <c r="L600" s="46"/>
      <c r="M600" s="45"/>
      <c r="N600" s="44"/>
    </row>
    <row r="601" customFormat="false" ht="15" hidden="false" customHeight="false" outlineLevel="0" collapsed="false">
      <c r="A601" s="44"/>
      <c r="B601" s="45"/>
      <c r="C601" s="45"/>
      <c r="D601" s="44"/>
      <c r="E601" s="44"/>
      <c r="F601" s="46"/>
      <c r="G601" s="46"/>
      <c r="H601" s="46"/>
      <c r="I601" s="46"/>
      <c r="J601" s="46"/>
      <c r="K601" s="46"/>
      <c r="L601" s="46"/>
      <c r="M601" s="45"/>
      <c r="N601" s="44"/>
    </row>
    <row r="602" customFormat="false" ht="15" hidden="false" customHeight="false" outlineLevel="0" collapsed="false">
      <c r="A602" s="44"/>
      <c r="B602" s="45"/>
      <c r="C602" s="45"/>
      <c r="D602" s="44"/>
      <c r="E602" s="44"/>
      <c r="F602" s="46"/>
      <c r="G602" s="46"/>
      <c r="H602" s="46"/>
      <c r="I602" s="46"/>
      <c r="J602" s="46"/>
      <c r="K602" s="46"/>
      <c r="L602" s="46"/>
      <c r="M602" s="45"/>
      <c r="N602" s="44"/>
    </row>
    <row r="603" customFormat="false" ht="15" hidden="false" customHeight="false" outlineLevel="0" collapsed="false">
      <c r="A603" s="44"/>
      <c r="B603" s="45"/>
      <c r="C603" s="45"/>
      <c r="D603" s="44"/>
      <c r="E603" s="44"/>
      <c r="F603" s="46"/>
      <c r="G603" s="46"/>
      <c r="H603" s="46"/>
      <c r="I603" s="46"/>
      <c r="J603" s="46"/>
      <c r="K603" s="46"/>
      <c r="L603" s="46"/>
      <c r="M603" s="45"/>
      <c r="N603" s="44"/>
    </row>
    <row r="604" customFormat="false" ht="15" hidden="false" customHeight="false" outlineLevel="0" collapsed="false">
      <c r="A604" s="44"/>
      <c r="B604" s="45"/>
      <c r="C604" s="45"/>
      <c r="D604" s="44"/>
      <c r="E604" s="44"/>
      <c r="F604" s="46"/>
      <c r="G604" s="46"/>
      <c r="H604" s="46"/>
      <c r="I604" s="46"/>
      <c r="J604" s="46"/>
      <c r="K604" s="46"/>
      <c r="L604" s="46"/>
      <c r="M604" s="45"/>
      <c r="N604" s="44"/>
    </row>
  </sheetData>
  <sheetProtection sheet="true" formatColumns="false" formatRows="false" sort="false" autoFilter="false"/>
  <mergeCells count="2">
    <mergeCell ref="A1:N1"/>
    <mergeCell ref="A2:N2"/>
  </mergeCells>
  <dataValidations count="1">
    <dataValidation allowBlank="true" error="قيمة غير مسموحة" errorStyle="stop" errorTitle="خطأ" operator="between" showDropDown="false" showErrorMessage="false" showInputMessage="false" sqref="N5:N604" type="list">
      <formula1>'قوائم النظام'!$B$2:$B$3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8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14"/>
    <col collapsed="false" customWidth="true" hidden="false" outlineLevel="0" max="4" min="4" style="0" width="16"/>
    <col collapsed="false" customWidth="true" hidden="false" outlineLevel="0" max="5" min="5" style="0" width="34"/>
    <col collapsed="false" customWidth="true" hidden="false" outlineLevel="0" max="9" min="6" style="0" width="14"/>
  </cols>
  <sheetData>
    <row r="1" customFormat="false" ht="30" hidden="false" customHeight="true" outlineLevel="0" collapsed="false">
      <c r="A1" s="1" t="s">
        <v>627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true" outlineLevel="0" collapsed="false">
      <c r="A2" s="4" t="s">
        <v>628</v>
      </c>
      <c r="B2" s="4"/>
      <c r="C2" s="4"/>
      <c r="D2" s="4"/>
      <c r="E2" s="4"/>
      <c r="F2" s="4"/>
      <c r="G2" s="4"/>
      <c r="H2" s="4"/>
      <c r="I2" s="4"/>
    </row>
    <row r="3" customFormat="false" ht="15" hidden="false" customHeight="false" outlineLevel="0" collapsed="false">
      <c r="A3" s="14" t="s">
        <v>629</v>
      </c>
    </row>
    <row r="4" customFormat="false" ht="15" hidden="false" customHeight="false" outlineLevel="0" collapsed="false">
      <c r="A4" s="15" t="s">
        <v>20</v>
      </c>
      <c r="B4" s="15" t="s">
        <v>630</v>
      </c>
      <c r="C4" s="15" t="s">
        <v>631</v>
      </c>
      <c r="D4" s="15" t="s">
        <v>632</v>
      </c>
      <c r="E4" s="15" t="s">
        <v>633</v>
      </c>
    </row>
    <row r="5" customFormat="false" ht="15" hidden="false" customHeight="false" outlineLevel="0" collapsed="false">
      <c r="A5" s="47" t="s">
        <v>634</v>
      </c>
      <c r="B5" s="48" t="n">
        <v>1.8</v>
      </c>
      <c r="C5" s="48" t="n">
        <v>1</v>
      </c>
      <c r="D5" s="49" t="n">
        <v>0.1</v>
      </c>
      <c r="E5" s="47" t="s">
        <v>635</v>
      </c>
    </row>
    <row r="6" customFormat="false" ht="15" hidden="false" customHeight="false" outlineLevel="0" collapsed="false">
      <c r="A6" s="47" t="s">
        <v>636</v>
      </c>
      <c r="B6" s="48" t="n">
        <v>2</v>
      </c>
      <c r="C6" s="48" t="n">
        <v>0.9</v>
      </c>
      <c r="D6" s="49" t="n">
        <v>0.05</v>
      </c>
      <c r="E6" s="47" t="s">
        <v>637</v>
      </c>
    </row>
    <row r="7" customFormat="false" ht="15" hidden="false" customHeight="false" outlineLevel="0" collapsed="false">
      <c r="A7" s="47" t="s">
        <v>21</v>
      </c>
      <c r="B7" s="48" t="n">
        <v>1.8</v>
      </c>
      <c r="C7" s="48" t="n">
        <v>0.9</v>
      </c>
      <c r="D7" s="49" t="n">
        <v>0</v>
      </c>
      <c r="E7" s="47"/>
    </row>
    <row r="8" customFormat="false" ht="15" hidden="false" customHeight="false" outlineLevel="0" collapsed="false">
      <c r="A8" s="47" t="s">
        <v>638</v>
      </c>
      <c r="B8" s="48" t="n">
        <v>2.2</v>
      </c>
      <c r="C8" s="48" t="n">
        <v>0.8</v>
      </c>
      <c r="D8" s="49" t="n">
        <v>-0.05</v>
      </c>
      <c r="E8" s="47" t="s">
        <v>639</v>
      </c>
    </row>
    <row r="9" customFormat="false" ht="15" hidden="false" customHeight="false" outlineLevel="0" collapsed="false">
      <c r="A9" s="47" t="s">
        <v>640</v>
      </c>
      <c r="B9" s="48" t="n">
        <v>2.4</v>
      </c>
      <c r="C9" s="48" t="n">
        <v>0.8</v>
      </c>
      <c r="D9" s="49" t="n">
        <v>-0.2</v>
      </c>
      <c r="E9" s="47" t="s">
        <v>641</v>
      </c>
    </row>
    <row r="10" customFormat="false" ht="15" hidden="false" customHeight="false" outlineLevel="0" collapsed="false">
      <c r="A10" s="47" t="s">
        <v>642</v>
      </c>
      <c r="B10" s="48" t="n">
        <v>2.6</v>
      </c>
      <c r="C10" s="48" t="n">
        <v>0.7</v>
      </c>
      <c r="D10" s="49" t="n">
        <v>-0.25</v>
      </c>
      <c r="E10" s="47" t="s">
        <v>643</v>
      </c>
    </row>
    <row r="12" customFormat="false" ht="15" hidden="false" customHeight="false" outlineLevel="0" collapsed="false">
      <c r="A12" s="14" t="s">
        <v>644</v>
      </c>
    </row>
    <row r="13" customFormat="false" ht="22.35" hidden="false" customHeight="false" outlineLevel="0" collapsed="false">
      <c r="A13" s="15" t="s">
        <v>32</v>
      </c>
      <c r="B13" s="15" t="s">
        <v>645</v>
      </c>
      <c r="C13" s="15" t="s">
        <v>646</v>
      </c>
      <c r="D13" s="15" t="s">
        <v>647</v>
      </c>
    </row>
    <row r="14" customFormat="false" ht="15" hidden="false" customHeight="false" outlineLevel="0" collapsed="false">
      <c r="A14" s="47" t="s">
        <v>53</v>
      </c>
      <c r="B14" s="50" t="n">
        <v>3</v>
      </c>
      <c r="C14" s="50" t="n">
        <v>0</v>
      </c>
      <c r="D14" s="51" t="s">
        <v>648</v>
      </c>
    </row>
    <row r="15" customFormat="false" ht="15" hidden="false" customHeight="false" outlineLevel="0" collapsed="false">
      <c r="A15" s="47" t="s">
        <v>58</v>
      </c>
      <c r="B15" s="50" t="n">
        <v>4</v>
      </c>
      <c r="C15" s="50" t="n">
        <v>5</v>
      </c>
      <c r="D15" s="51" t="s">
        <v>145</v>
      </c>
    </row>
    <row r="16" customFormat="false" ht="15" hidden="false" customHeight="false" outlineLevel="0" collapsed="false">
      <c r="A16" s="47" t="s">
        <v>51</v>
      </c>
      <c r="B16" s="50" t="n">
        <v>5</v>
      </c>
      <c r="C16" s="50" t="n">
        <v>6</v>
      </c>
      <c r="D16" s="51" t="s">
        <v>145</v>
      </c>
    </row>
    <row r="17" customFormat="false" ht="15" hidden="false" customHeight="false" outlineLevel="0" collapsed="false">
      <c r="A17" s="47" t="s">
        <v>48</v>
      </c>
      <c r="B17" s="50" t="n">
        <v>6</v>
      </c>
      <c r="C17" s="50" t="n">
        <v>7</v>
      </c>
      <c r="D17" s="51" t="s">
        <v>145</v>
      </c>
    </row>
    <row r="18" customFormat="false" ht="15" hidden="false" customHeight="false" outlineLevel="0" collapsed="false">
      <c r="A18" s="47" t="s">
        <v>649</v>
      </c>
      <c r="B18" s="50" t="n">
        <v>7</v>
      </c>
      <c r="C18" s="50" t="n">
        <v>9</v>
      </c>
      <c r="D18" s="51" t="s">
        <v>145</v>
      </c>
    </row>
    <row r="19" customFormat="false" ht="15" hidden="false" customHeight="false" outlineLevel="0" collapsed="false">
      <c r="A19" s="47" t="s">
        <v>650</v>
      </c>
      <c r="B19" s="50" t="n">
        <v>6</v>
      </c>
      <c r="C19" s="50" t="n">
        <v>0</v>
      </c>
      <c r="D19" s="51" t="s">
        <v>648</v>
      </c>
    </row>
    <row r="21" customFormat="false" ht="15" hidden="false" customHeight="false" outlineLevel="0" collapsed="false">
      <c r="A21" s="14" t="s">
        <v>651</v>
      </c>
    </row>
    <row r="22" customFormat="false" ht="15" hidden="false" customHeight="false" outlineLevel="0" collapsed="false">
      <c r="A22" s="3" t="s">
        <v>652</v>
      </c>
      <c r="B22" s="48" t="n">
        <v>1.3</v>
      </c>
    </row>
    <row r="23" customFormat="false" ht="15" hidden="false" customHeight="false" outlineLevel="0" collapsed="false">
      <c r="A23" s="3" t="s">
        <v>653</v>
      </c>
      <c r="B23" s="50" t="n">
        <v>1.6</v>
      </c>
    </row>
    <row r="24" customFormat="false" ht="15" hidden="false" customHeight="false" outlineLevel="0" collapsed="false">
      <c r="A24" s="3" t="s">
        <v>654</v>
      </c>
      <c r="B24" s="50" t="n">
        <v>0.6</v>
      </c>
    </row>
    <row r="25" customFormat="false" ht="15" hidden="false" customHeight="false" outlineLevel="0" collapsed="false">
      <c r="A25" s="3" t="s">
        <v>655</v>
      </c>
      <c r="B25" s="18" t="n">
        <v>30</v>
      </c>
    </row>
    <row r="26" customFormat="false" ht="15" hidden="false" customHeight="false" outlineLevel="0" collapsed="false">
      <c r="A26" s="3" t="s">
        <v>656</v>
      </c>
      <c r="B26" s="18" t="n">
        <v>35</v>
      </c>
    </row>
    <row r="27" customFormat="false" ht="15" hidden="false" customHeight="false" outlineLevel="0" collapsed="false">
      <c r="A27" s="3" t="s">
        <v>657</v>
      </c>
      <c r="B27" s="18" t="n">
        <v>500</v>
      </c>
    </row>
    <row r="28" customFormat="false" ht="15" hidden="false" customHeight="false" outlineLevel="0" collapsed="false">
      <c r="A28" s="3" t="s">
        <v>658</v>
      </c>
      <c r="B28" s="18" t="n">
        <v>5</v>
      </c>
    </row>
    <row r="29" customFormat="false" ht="15" hidden="false" customHeight="false" outlineLevel="0" collapsed="false">
      <c r="A29" s="3" t="s">
        <v>659</v>
      </c>
      <c r="B29" s="50" t="n">
        <v>2</v>
      </c>
    </row>
    <row r="31" customFormat="false" ht="15" hidden="false" customHeight="true" outlineLevel="0" collapsed="false">
      <c r="A31" s="14" t="s">
        <v>660</v>
      </c>
      <c r="B31" s="14"/>
      <c r="C31" s="14"/>
      <c r="D31" s="14"/>
      <c r="E31" s="14"/>
      <c r="F31" s="14"/>
      <c r="G31" s="14"/>
      <c r="H31" s="14"/>
      <c r="I31" s="14"/>
    </row>
    <row r="32" customFormat="false" ht="15" hidden="false" customHeight="false" outlineLevel="0" collapsed="false">
      <c r="A32" s="15" t="s">
        <v>74</v>
      </c>
      <c r="B32" s="15" t="s">
        <v>661</v>
      </c>
      <c r="C32" s="15" t="s">
        <v>662</v>
      </c>
      <c r="D32" s="15" t="s">
        <v>663</v>
      </c>
      <c r="E32" s="15" t="s">
        <v>664</v>
      </c>
      <c r="F32" s="15" t="s">
        <v>665</v>
      </c>
      <c r="G32" s="15" t="s">
        <v>666</v>
      </c>
      <c r="H32" s="15" t="s">
        <v>667</v>
      </c>
      <c r="I32" s="15" t="s">
        <v>668</v>
      </c>
    </row>
    <row r="33" customFormat="false" ht="15" hidden="false" customHeight="false" outlineLevel="0" collapsed="false">
      <c r="A33" s="5" t="s">
        <v>669</v>
      </c>
      <c r="B33" s="17" t="s">
        <v>670</v>
      </c>
      <c r="C33" s="17" t="s">
        <v>145</v>
      </c>
      <c r="D33" s="49" t="n">
        <v>0.25</v>
      </c>
      <c r="E33" s="49" t="n">
        <v>0.25</v>
      </c>
      <c r="F33" s="49" t="n">
        <v>0.25</v>
      </c>
      <c r="G33" s="49" t="n">
        <v>0.2</v>
      </c>
      <c r="H33" s="49" t="n">
        <v>0.2</v>
      </c>
      <c r="I33" s="49" t="n">
        <v>0.25</v>
      </c>
    </row>
    <row r="34" customFormat="false" ht="15" hidden="false" customHeight="false" outlineLevel="0" collapsed="false">
      <c r="A34" s="5" t="s">
        <v>671</v>
      </c>
      <c r="B34" s="17" t="s">
        <v>672</v>
      </c>
      <c r="C34" s="17" t="s">
        <v>145</v>
      </c>
      <c r="D34" s="49" t="n">
        <v>0.1</v>
      </c>
      <c r="E34" s="49" t="n">
        <v>0.1</v>
      </c>
      <c r="F34" s="49" t="n">
        <v>0.1</v>
      </c>
      <c r="G34" s="49" t="n">
        <v>0.1</v>
      </c>
      <c r="H34" s="49" t="n">
        <v>0.15</v>
      </c>
      <c r="I34" s="49" t="n">
        <v>0.05</v>
      </c>
    </row>
    <row r="35" customFormat="false" ht="15" hidden="false" customHeight="false" outlineLevel="0" collapsed="false">
      <c r="A35" s="5" t="s">
        <v>673</v>
      </c>
      <c r="B35" s="17" t="s">
        <v>674</v>
      </c>
      <c r="C35" s="17" t="s">
        <v>145</v>
      </c>
      <c r="D35" s="49" t="n">
        <v>0.3</v>
      </c>
      <c r="E35" s="49" t="n">
        <v>0.3</v>
      </c>
      <c r="F35" s="49" t="n">
        <v>0.3</v>
      </c>
      <c r="G35" s="49" t="n">
        <v>0.25</v>
      </c>
      <c r="H35" s="49" t="n">
        <v>0.25</v>
      </c>
      <c r="I35" s="49" t="n">
        <v>0.3</v>
      </c>
    </row>
    <row r="36" customFormat="false" ht="15" hidden="false" customHeight="false" outlineLevel="0" collapsed="false">
      <c r="A36" s="5" t="s">
        <v>675</v>
      </c>
      <c r="B36" s="17" t="s">
        <v>676</v>
      </c>
      <c r="C36" s="17" t="s">
        <v>145</v>
      </c>
      <c r="D36" s="49" t="n">
        <v>0.1</v>
      </c>
      <c r="E36" s="49" t="n">
        <v>0.1</v>
      </c>
      <c r="F36" s="49" t="n">
        <v>0.1</v>
      </c>
      <c r="G36" s="49" t="n">
        <v>0.2</v>
      </c>
      <c r="H36" s="49" t="n">
        <v>0.25</v>
      </c>
      <c r="I36" s="49" t="n">
        <v>0.1</v>
      </c>
    </row>
    <row r="37" customFormat="false" ht="15" hidden="false" customHeight="false" outlineLevel="0" collapsed="false">
      <c r="A37" s="5" t="s">
        <v>677</v>
      </c>
      <c r="B37" s="17" t="s">
        <v>678</v>
      </c>
      <c r="C37" s="17" t="s">
        <v>145</v>
      </c>
      <c r="D37" s="49" t="n">
        <v>0.25</v>
      </c>
      <c r="E37" s="49" t="n">
        <v>0.25</v>
      </c>
      <c r="F37" s="49" t="n">
        <v>0.25</v>
      </c>
      <c r="G37" s="49" t="n">
        <v>0.25</v>
      </c>
      <c r="H37" s="49" t="n">
        <v>0.15</v>
      </c>
      <c r="I37" s="49" t="n">
        <v>0.3</v>
      </c>
    </row>
    <row r="38" customFormat="false" ht="15" hidden="false" customHeight="false" outlineLevel="0" collapsed="false">
      <c r="A38" s="5" t="s">
        <v>679</v>
      </c>
      <c r="B38" s="17" t="s">
        <v>680</v>
      </c>
      <c r="C38" s="17" t="s">
        <v>648</v>
      </c>
      <c r="D38" s="49" t="n">
        <v>0</v>
      </c>
      <c r="E38" s="49" t="n">
        <v>0</v>
      </c>
      <c r="F38" s="49" t="n">
        <v>0</v>
      </c>
      <c r="G38" s="49" t="n">
        <v>0</v>
      </c>
      <c r="H38" s="49" t="n">
        <v>0</v>
      </c>
      <c r="I38" s="49" t="n">
        <v>0</v>
      </c>
    </row>
    <row r="39" customFormat="false" ht="15" hidden="false" customHeight="false" outlineLevel="0" collapsed="false">
      <c r="A39" s="24" t="s">
        <v>681</v>
      </c>
      <c r="D39" s="52" t="n">
        <f aca="false">SUMPRODUCT(--($C$33:$C$38="نعم"),D33:D38)</f>
        <v>1</v>
      </c>
      <c r="E39" s="52" t="n">
        <f aca="false">SUMPRODUCT(--($C$33:$C$38="نعم"),E33:E38)</f>
        <v>1</v>
      </c>
      <c r="F39" s="52" t="n">
        <f aca="false">SUMPRODUCT(--($C$33:$C$38="نعم"),F33:F38)</f>
        <v>1</v>
      </c>
      <c r="G39" s="52" t="n">
        <f aca="false">SUMPRODUCT(--($C$33:$C$38="نعم"),G33:G38)</f>
        <v>1</v>
      </c>
      <c r="H39" s="52" t="n">
        <f aca="false">SUMPRODUCT(--($C$33:$C$38="نعم"),H33:H38)</f>
        <v>1</v>
      </c>
      <c r="I39" s="52" t="n">
        <f aca="false">SUMPRODUCT(--($C$33:$C$38="نعم"),I33:I38)</f>
        <v>1</v>
      </c>
    </row>
    <row r="41" customFormat="false" ht="15" hidden="false" customHeight="true" outlineLevel="0" collapsed="false">
      <c r="A41" s="14" t="s">
        <v>682</v>
      </c>
      <c r="B41" s="14"/>
      <c r="C41" s="14"/>
      <c r="D41" s="14"/>
      <c r="E41" s="14"/>
      <c r="F41" s="14"/>
      <c r="G41" s="14"/>
      <c r="H41" s="14"/>
      <c r="I41" s="14"/>
    </row>
    <row r="42" customFormat="false" ht="15" hidden="false" customHeight="true" outlineLevel="0" collapsed="false">
      <c r="A42" s="3" t="s">
        <v>683</v>
      </c>
      <c r="B42" s="3"/>
      <c r="C42" s="3"/>
      <c r="D42" s="3"/>
      <c r="E42" s="3"/>
      <c r="F42" s="3"/>
      <c r="G42" s="3"/>
      <c r="H42" s="3"/>
      <c r="I42" s="3"/>
    </row>
    <row r="43" customFormat="false" ht="15" hidden="false" customHeight="true" outlineLevel="0" collapsed="false">
      <c r="A43" s="3" t="s">
        <v>684</v>
      </c>
      <c r="B43" s="3"/>
      <c r="C43" s="3"/>
      <c r="D43" s="3"/>
      <c r="E43" s="3"/>
      <c r="F43" s="3"/>
      <c r="G43" s="3"/>
      <c r="H43" s="3"/>
      <c r="I43" s="3"/>
    </row>
    <row r="44" customFormat="false" ht="15" hidden="false" customHeight="true" outlineLevel="0" collapsed="false">
      <c r="A44" s="3" t="s">
        <v>685</v>
      </c>
      <c r="B44" s="3"/>
      <c r="C44" s="3"/>
      <c r="D44" s="3"/>
      <c r="E44" s="3"/>
      <c r="F44" s="3"/>
      <c r="G44" s="3"/>
      <c r="H44" s="3"/>
      <c r="I44" s="3"/>
    </row>
    <row r="45" customFormat="false" ht="15" hidden="false" customHeight="true" outlineLevel="0" collapsed="false">
      <c r="A45" s="3" t="s">
        <v>686</v>
      </c>
      <c r="B45" s="3"/>
      <c r="C45" s="3"/>
      <c r="D45" s="3"/>
      <c r="E45" s="3"/>
      <c r="F45" s="3"/>
      <c r="G45" s="3"/>
      <c r="H45" s="3"/>
      <c r="I45" s="3"/>
    </row>
    <row r="46" customFormat="false" ht="15" hidden="false" customHeight="true" outlineLevel="0" collapsed="false">
      <c r="A46" s="3" t="s">
        <v>687</v>
      </c>
      <c r="B46" s="3"/>
      <c r="C46" s="3"/>
      <c r="D46" s="3"/>
      <c r="E46" s="3"/>
      <c r="F46" s="3"/>
      <c r="G46" s="3"/>
      <c r="H46" s="3"/>
      <c r="I46" s="3"/>
    </row>
    <row r="47" customFormat="false" ht="15" hidden="false" customHeight="true" outlineLevel="0" collapsed="false">
      <c r="A47" s="3" t="s">
        <v>688</v>
      </c>
      <c r="B47" s="3"/>
      <c r="C47" s="3"/>
      <c r="D47" s="3"/>
      <c r="E47" s="3"/>
      <c r="F47" s="3"/>
      <c r="G47" s="3"/>
      <c r="H47" s="3"/>
      <c r="I47" s="3"/>
    </row>
    <row r="48" customFormat="false" ht="15" hidden="false" customHeight="true" outlineLevel="0" collapsed="false">
      <c r="A48" s="3" t="s">
        <v>689</v>
      </c>
      <c r="B48" s="3"/>
      <c r="C48" s="3"/>
      <c r="D48" s="3"/>
      <c r="E48" s="3"/>
      <c r="F48" s="3"/>
      <c r="G48" s="3"/>
      <c r="H48" s="3"/>
      <c r="I48" s="3"/>
    </row>
  </sheetData>
  <sheetProtection sheet="true" formatColumns="false" formatRows="false" sort="false" autoFilter="false"/>
  <mergeCells count="11">
    <mergeCell ref="A1:I1"/>
    <mergeCell ref="A2:I2"/>
    <mergeCell ref="A31:I31"/>
    <mergeCell ref="A41:I41"/>
    <mergeCell ref="A42:I42"/>
    <mergeCell ref="A43:I43"/>
    <mergeCell ref="A44:I44"/>
    <mergeCell ref="A45:I45"/>
    <mergeCell ref="A46:I46"/>
    <mergeCell ref="A47:I47"/>
    <mergeCell ref="A48:I48"/>
  </mergeCells>
  <dataValidations count="2">
    <dataValidation allowBlank="true" error="قيمة غير مسموحة" errorStyle="stop" errorTitle="خطأ" operator="between" showDropDown="false" showErrorMessage="false" showInputMessage="false" sqref="D14:D19" type="list">
      <formula1>'قوائم النظام'!$B$2:$B$3</formula1>
      <formula2>0</formula2>
    </dataValidation>
    <dataValidation allowBlank="true" error="قيمة غير مسموحة" errorStyle="stop" errorTitle="خطأ" operator="between" showDropDown="false" showErrorMessage="false" showInputMessage="false" sqref="C33:C38" type="list">
      <formula1>'قوائم النظام'!$B$2:$B$3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04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0"/>
    <col collapsed="false" customWidth="true" hidden="false" outlineLevel="0" max="3" min="3" style="0" width="110"/>
    <col collapsed="false" customWidth="true" hidden="false" outlineLevel="0" max="4" min="4" style="0" width="8"/>
  </cols>
  <sheetData>
    <row r="1" customFormat="false" ht="30" hidden="false" customHeight="true" outlineLevel="0" collapsed="false">
      <c r="A1" s="1" t="s">
        <v>690</v>
      </c>
      <c r="B1" s="1"/>
      <c r="C1" s="1"/>
      <c r="D1" s="1"/>
      <c r="E1" s="1"/>
    </row>
    <row r="2" customFormat="false" ht="39.75" hidden="false" customHeight="true" outlineLevel="0" collapsed="false">
      <c r="A2" s="4" t="s">
        <v>691</v>
      </c>
      <c r="B2" s="4"/>
      <c r="C2" s="4"/>
      <c r="D2" s="4"/>
    </row>
    <row r="4" customFormat="false" ht="15" hidden="false" customHeight="false" outlineLevel="0" collapsed="false">
      <c r="A4" s="53" t="s">
        <v>20</v>
      </c>
      <c r="B4" s="53" t="s">
        <v>692</v>
      </c>
      <c r="C4" s="53" t="s">
        <v>693</v>
      </c>
      <c r="D4" s="53" t="s">
        <v>694</v>
      </c>
    </row>
    <row r="5" customFormat="false" ht="15" hidden="false" customHeight="false" outlineLevel="0" collapsed="false">
      <c r="A5" s="45" t="s">
        <v>640</v>
      </c>
      <c r="B5" s="44" t="s">
        <v>695</v>
      </c>
      <c r="C5" s="45" t="s">
        <v>696</v>
      </c>
      <c r="D5" s="44" t="s">
        <v>145</v>
      </c>
    </row>
    <row r="6" customFormat="false" ht="15" hidden="false" customHeight="false" outlineLevel="0" collapsed="false">
      <c r="A6" s="45" t="s">
        <v>640</v>
      </c>
      <c r="B6" s="44" t="s">
        <v>695</v>
      </c>
      <c r="C6" s="45" t="s">
        <v>697</v>
      </c>
      <c r="D6" s="44" t="s">
        <v>145</v>
      </c>
    </row>
    <row r="7" customFormat="false" ht="15" hidden="false" customHeight="false" outlineLevel="0" collapsed="false">
      <c r="A7" s="45" t="s">
        <v>640</v>
      </c>
      <c r="B7" s="44" t="s">
        <v>695</v>
      </c>
      <c r="C7" s="45" t="s">
        <v>698</v>
      </c>
      <c r="D7" s="44" t="s">
        <v>145</v>
      </c>
    </row>
    <row r="8" customFormat="false" ht="15" hidden="false" customHeight="false" outlineLevel="0" collapsed="false">
      <c r="A8" s="45" t="s">
        <v>640</v>
      </c>
      <c r="B8" s="44" t="s">
        <v>695</v>
      </c>
      <c r="C8" s="45" t="s">
        <v>699</v>
      </c>
      <c r="D8" s="44" t="s">
        <v>145</v>
      </c>
    </row>
    <row r="9" customFormat="false" ht="15" hidden="false" customHeight="false" outlineLevel="0" collapsed="false">
      <c r="A9" s="45" t="s">
        <v>640</v>
      </c>
      <c r="B9" s="44" t="s">
        <v>695</v>
      </c>
      <c r="C9" s="45" t="s">
        <v>700</v>
      </c>
      <c r="D9" s="44" t="s">
        <v>145</v>
      </c>
    </row>
    <row r="10" customFormat="false" ht="15" hidden="false" customHeight="false" outlineLevel="0" collapsed="false">
      <c r="A10" s="45" t="s">
        <v>640</v>
      </c>
      <c r="B10" s="44" t="s">
        <v>695</v>
      </c>
      <c r="C10" s="45" t="s">
        <v>701</v>
      </c>
      <c r="D10" s="44" t="s">
        <v>145</v>
      </c>
    </row>
    <row r="11" customFormat="false" ht="15" hidden="false" customHeight="false" outlineLevel="0" collapsed="false">
      <c r="A11" s="45" t="s">
        <v>640</v>
      </c>
      <c r="B11" s="44" t="s">
        <v>695</v>
      </c>
      <c r="C11" s="45" t="s">
        <v>702</v>
      </c>
      <c r="D11" s="44" t="s">
        <v>145</v>
      </c>
    </row>
    <row r="12" customFormat="false" ht="15" hidden="false" customHeight="false" outlineLevel="0" collapsed="false">
      <c r="A12" s="45" t="s">
        <v>640</v>
      </c>
      <c r="B12" s="44" t="s">
        <v>695</v>
      </c>
      <c r="C12" s="45" t="s">
        <v>703</v>
      </c>
      <c r="D12" s="44" t="s">
        <v>145</v>
      </c>
    </row>
    <row r="13" customFormat="false" ht="15" hidden="false" customHeight="false" outlineLevel="0" collapsed="false">
      <c r="A13" s="45" t="s">
        <v>640</v>
      </c>
      <c r="B13" s="44" t="s">
        <v>704</v>
      </c>
      <c r="C13" s="45" t="s">
        <v>705</v>
      </c>
      <c r="D13" s="44" t="s">
        <v>145</v>
      </c>
    </row>
    <row r="14" customFormat="false" ht="15" hidden="false" customHeight="false" outlineLevel="0" collapsed="false">
      <c r="A14" s="45" t="s">
        <v>640</v>
      </c>
      <c r="B14" s="44" t="s">
        <v>704</v>
      </c>
      <c r="C14" s="45" t="s">
        <v>706</v>
      </c>
      <c r="D14" s="44" t="s">
        <v>145</v>
      </c>
    </row>
    <row r="15" customFormat="false" ht="15" hidden="false" customHeight="false" outlineLevel="0" collapsed="false">
      <c r="A15" s="45" t="s">
        <v>640</v>
      </c>
      <c r="B15" s="44" t="s">
        <v>704</v>
      </c>
      <c r="C15" s="45" t="s">
        <v>707</v>
      </c>
      <c r="D15" s="44" t="s">
        <v>145</v>
      </c>
    </row>
    <row r="16" customFormat="false" ht="15" hidden="false" customHeight="false" outlineLevel="0" collapsed="false">
      <c r="A16" s="45" t="s">
        <v>640</v>
      </c>
      <c r="B16" s="44" t="s">
        <v>704</v>
      </c>
      <c r="C16" s="45" t="s">
        <v>708</v>
      </c>
      <c r="D16" s="44" t="s">
        <v>145</v>
      </c>
    </row>
    <row r="17" customFormat="false" ht="15" hidden="false" customHeight="false" outlineLevel="0" collapsed="false">
      <c r="A17" s="45" t="s">
        <v>640</v>
      </c>
      <c r="B17" s="44" t="s">
        <v>704</v>
      </c>
      <c r="C17" s="45" t="s">
        <v>709</v>
      </c>
      <c r="D17" s="44" t="s">
        <v>145</v>
      </c>
    </row>
    <row r="18" customFormat="false" ht="15" hidden="false" customHeight="false" outlineLevel="0" collapsed="false">
      <c r="A18" s="45" t="s">
        <v>640</v>
      </c>
      <c r="B18" s="44" t="s">
        <v>704</v>
      </c>
      <c r="C18" s="45" t="s">
        <v>710</v>
      </c>
      <c r="D18" s="44" t="s">
        <v>145</v>
      </c>
    </row>
    <row r="19" customFormat="false" ht="15" hidden="false" customHeight="false" outlineLevel="0" collapsed="false">
      <c r="A19" s="45" t="s">
        <v>640</v>
      </c>
      <c r="B19" s="44" t="s">
        <v>704</v>
      </c>
      <c r="C19" s="45" t="s">
        <v>711</v>
      </c>
      <c r="D19" s="44" t="s">
        <v>145</v>
      </c>
    </row>
    <row r="20" customFormat="false" ht="15" hidden="false" customHeight="false" outlineLevel="0" collapsed="false">
      <c r="A20" s="45" t="s">
        <v>640</v>
      </c>
      <c r="B20" s="44" t="s">
        <v>712</v>
      </c>
      <c r="C20" s="45" t="s">
        <v>713</v>
      </c>
      <c r="D20" s="44" t="s">
        <v>145</v>
      </c>
    </row>
    <row r="21" customFormat="false" ht="15" hidden="false" customHeight="false" outlineLevel="0" collapsed="false">
      <c r="A21" s="45" t="s">
        <v>640</v>
      </c>
      <c r="B21" s="44" t="s">
        <v>712</v>
      </c>
      <c r="C21" s="45" t="s">
        <v>714</v>
      </c>
      <c r="D21" s="44" t="s">
        <v>145</v>
      </c>
    </row>
    <row r="22" customFormat="false" ht="15" hidden="false" customHeight="false" outlineLevel="0" collapsed="false">
      <c r="A22" s="45" t="s">
        <v>640</v>
      </c>
      <c r="B22" s="44" t="s">
        <v>712</v>
      </c>
      <c r="C22" s="45" t="s">
        <v>715</v>
      </c>
      <c r="D22" s="44" t="s">
        <v>145</v>
      </c>
    </row>
    <row r="23" customFormat="false" ht="15" hidden="false" customHeight="false" outlineLevel="0" collapsed="false">
      <c r="A23" s="45" t="s">
        <v>640</v>
      </c>
      <c r="B23" s="44" t="s">
        <v>716</v>
      </c>
      <c r="C23" s="45" t="s">
        <v>717</v>
      </c>
      <c r="D23" s="44" t="s">
        <v>145</v>
      </c>
    </row>
    <row r="24" customFormat="false" ht="15" hidden="false" customHeight="false" outlineLevel="0" collapsed="false">
      <c r="A24" s="45" t="s">
        <v>640</v>
      </c>
      <c r="B24" s="44" t="s">
        <v>716</v>
      </c>
      <c r="C24" s="45" t="s">
        <v>718</v>
      </c>
      <c r="D24" s="44" t="s">
        <v>145</v>
      </c>
    </row>
    <row r="25" customFormat="false" ht="15" hidden="false" customHeight="false" outlineLevel="0" collapsed="false">
      <c r="A25" s="45" t="s">
        <v>642</v>
      </c>
      <c r="B25" s="44" t="s">
        <v>695</v>
      </c>
      <c r="C25" s="45" t="s">
        <v>719</v>
      </c>
      <c r="D25" s="44" t="s">
        <v>145</v>
      </c>
    </row>
    <row r="26" customFormat="false" ht="15" hidden="false" customHeight="false" outlineLevel="0" collapsed="false">
      <c r="A26" s="45" t="s">
        <v>642</v>
      </c>
      <c r="B26" s="44" t="s">
        <v>695</v>
      </c>
      <c r="C26" s="45" t="s">
        <v>720</v>
      </c>
      <c r="D26" s="44" t="s">
        <v>145</v>
      </c>
    </row>
    <row r="27" customFormat="false" ht="15" hidden="false" customHeight="false" outlineLevel="0" collapsed="false">
      <c r="A27" s="45" t="s">
        <v>642</v>
      </c>
      <c r="B27" s="44" t="s">
        <v>695</v>
      </c>
      <c r="C27" s="45" t="s">
        <v>721</v>
      </c>
      <c r="D27" s="44" t="s">
        <v>145</v>
      </c>
    </row>
    <row r="28" customFormat="false" ht="15" hidden="false" customHeight="false" outlineLevel="0" collapsed="false">
      <c r="A28" s="45" t="s">
        <v>642</v>
      </c>
      <c r="B28" s="44" t="s">
        <v>695</v>
      </c>
      <c r="C28" s="45" t="s">
        <v>722</v>
      </c>
      <c r="D28" s="44" t="s">
        <v>145</v>
      </c>
    </row>
    <row r="29" customFormat="false" ht="15" hidden="false" customHeight="false" outlineLevel="0" collapsed="false">
      <c r="A29" s="45" t="s">
        <v>642</v>
      </c>
      <c r="B29" s="44" t="s">
        <v>695</v>
      </c>
      <c r="C29" s="45" t="s">
        <v>723</v>
      </c>
      <c r="D29" s="44" t="s">
        <v>145</v>
      </c>
    </row>
    <row r="30" customFormat="false" ht="15" hidden="false" customHeight="false" outlineLevel="0" collapsed="false">
      <c r="A30" s="45" t="s">
        <v>642</v>
      </c>
      <c r="B30" s="44" t="s">
        <v>695</v>
      </c>
      <c r="C30" s="45" t="s">
        <v>724</v>
      </c>
      <c r="D30" s="44" t="s">
        <v>145</v>
      </c>
    </row>
    <row r="31" customFormat="false" ht="15" hidden="false" customHeight="false" outlineLevel="0" collapsed="false">
      <c r="A31" s="45" t="s">
        <v>642</v>
      </c>
      <c r="B31" s="44" t="s">
        <v>704</v>
      </c>
      <c r="C31" s="45" t="s">
        <v>725</v>
      </c>
      <c r="D31" s="44" t="s">
        <v>145</v>
      </c>
    </row>
    <row r="32" customFormat="false" ht="15" hidden="false" customHeight="false" outlineLevel="0" collapsed="false">
      <c r="A32" s="45" t="s">
        <v>642</v>
      </c>
      <c r="B32" s="44" t="s">
        <v>704</v>
      </c>
      <c r="C32" s="45" t="s">
        <v>726</v>
      </c>
      <c r="D32" s="44" t="s">
        <v>145</v>
      </c>
    </row>
    <row r="33" customFormat="false" ht="15" hidden="false" customHeight="false" outlineLevel="0" collapsed="false">
      <c r="A33" s="45" t="s">
        <v>642</v>
      </c>
      <c r="B33" s="44" t="s">
        <v>704</v>
      </c>
      <c r="C33" s="45" t="s">
        <v>727</v>
      </c>
      <c r="D33" s="44" t="s">
        <v>145</v>
      </c>
    </row>
    <row r="34" customFormat="false" ht="15" hidden="false" customHeight="false" outlineLevel="0" collapsed="false">
      <c r="A34" s="45" t="s">
        <v>642</v>
      </c>
      <c r="B34" s="44" t="s">
        <v>704</v>
      </c>
      <c r="C34" s="45" t="s">
        <v>728</v>
      </c>
      <c r="D34" s="44" t="s">
        <v>145</v>
      </c>
    </row>
    <row r="35" customFormat="false" ht="15" hidden="false" customHeight="false" outlineLevel="0" collapsed="false">
      <c r="A35" s="45" t="s">
        <v>642</v>
      </c>
      <c r="B35" s="44" t="s">
        <v>704</v>
      </c>
      <c r="C35" s="45" t="s">
        <v>729</v>
      </c>
      <c r="D35" s="44" t="s">
        <v>145</v>
      </c>
    </row>
    <row r="36" customFormat="false" ht="15" hidden="false" customHeight="false" outlineLevel="0" collapsed="false">
      <c r="A36" s="45" t="s">
        <v>642</v>
      </c>
      <c r="B36" s="44" t="s">
        <v>704</v>
      </c>
      <c r="C36" s="45" t="s">
        <v>730</v>
      </c>
      <c r="D36" s="44" t="s">
        <v>145</v>
      </c>
    </row>
    <row r="37" customFormat="false" ht="15" hidden="false" customHeight="false" outlineLevel="0" collapsed="false">
      <c r="A37" s="45" t="s">
        <v>642</v>
      </c>
      <c r="B37" s="44" t="s">
        <v>712</v>
      </c>
      <c r="C37" s="45" t="s">
        <v>731</v>
      </c>
      <c r="D37" s="44" t="s">
        <v>145</v>
      </c>
    </row>
    <row r="38" customFormat="false" ht="15" hidden="false" customHeight="false" outlineLevel="0" collapsed="false">
      <c r="A38" s="45" t="s">
        <v>642</v>
      </c>
      <c r="B38" s="44" t="s">
        <v>712</v>
      </c>
      <c r="C38" s="45" t="s">
        <v>732</v>
      </c>
      <c r="D38" s="44" t="s">
        <v>145</v>
      </c>
    </row>
    <row r="39" customFormat="false" ht="15" hidden="false" customHeight="false" outlineLevel="0" collapsed="false">
      <c r="A39" s="45" t="s">
        <v>642</v>
      </c>
      <c r="B39" s="44" t="s">
        <v>712</v>
      </c>
      <c r="C39" s="45" t="s">
        <v>733</v>
      </c>
      <c r="D39" s="44" t="s">
        <v>145</v>
      </c>
    </row>
    <row r="40" customFormat="false" ht="15" hidden="false" customHeight="false" outlineLevel="0" collapsed="false">
      <c r="A40" s="45" t="s">
        <v>642</v>
      </c>
      <c r="B40" s="44" t="s">
        <v>716</v>
      </c>
      <c r="C40" s="45" t="s">
        <v>734</v>
      </c>
      <c r="D40" s="44" t="s">
        <v>145</v>
      </c>
    </row>
    <row r="41" customFormat="false" ht="15" hidden="false" customHeight="false" outlineLevel="0" collapsed="false">
      <c r="A41" s="45" t="s">
        <v>642</v>
      </c>
      <c r="B41" s="44" t="s">
        <v>716</v>
      </c>
      <c r="C41" s="45" t="s">
        <v>735</v>
      </c>
      <c r="D41" s="44" t="s">
        <v>145</v>
      </c>
    </row>
    <row r="42" customFormat="false" ht="15" hidden="false" customHeight="false" outlineLevel="0" collapsed="false">
      <c r="A42" s="45" t="s">
        <v>634</v>
      </c>
      <c r="B42" s="44" t="s">
        <v>695</v>
      </c>
      <c r="C42" s="45" t="s">
        <v>736</v>
      </c>
      <c r="D42" s="44" t="s">
        <v>145</v>
      </c>
    </row>
    <row r="43" customFormat="false" ht="15" hidden="false" customHeight="false" outlineLevel="0" collapsed="false">
      <c r="A43" s="45" t="s">
        <v>634</v>
      </c>
      <c r="B43" s="44" t="s">
        <v>695</v>
      </c>
      <c r="C43" s="45" t="s">
        <v>737</v>
      </c>
      <c r="D43" s="44" t="s">
        <v>145</v>
      </c>
    </row>
    <row r="44" customFormat="false" ht="15" hidden="false" customHeight="false" outlineLevel="0" collapsed="false">
      <c r="A44" s="45" t="s">
        <v>634</v>
      </c>
      <c r="B44" s="44" t="s">
        <v>695</v>
      </c>
      <c r="C44" s="45" t="s">
        <v>738</v>
      </c>
      <c r="D44" s="44" t="s">
        <v>145</v>
      </c>
    </row>
    <row r="45" customFormat="false" ht="15" hidden="false" customHeight="false" outlineLevel="0" collapsed="false">
      <c r="A45" s="45" t="s">
        <v>634</v>
      </c>
      <c r="B45" s="44" t="s">
        <v>695</v>
      </c>
      <c r="C45" s="45" t="s">
        <v>739</v>
      </c>
      <c r="D45" s="44" t="s">
        <v>145</v>
      </c>
    </row>
    <row r="46" customFormat="false" ht="15" hidden="false" customHeight="false" outlineLevel="0" collapsed="false">
      <c r="A46" s="45" t="s">
        <v>634</v>
      </c>
      <c r="B46" s="44" t="s">
        <v>695</v>
      </c>
      <c r="C46" s="45" t="s">
        <v>740</v>
      </c>
      <c r="D46" s="44" t="s">
        <v>145</v>
      </c>
    </row>
    <row r="47" customFormat="false" ht="15" hidden="false" customHeight="false" outlineLevel="0" collapsed="false">
      <c r="A47" s="45" t="s">
        <v>634</v>
      </c>
      <c r="B47" s="44" t="s">
        <v>695</v>
      </c>
      <c r="C47" s="45" t="s">
        <v>741</v>
      </c>
      <c r="D47" s="44" t="s">
        <v>145</v>
      </c>
    </row>
    <row r="48" customFormat="false" ht="15" hidden="false" customHeight="false" outlineLevel="0" collapsed="false">
      <c r="A48" s="45" t="s">
        <v>634</v>
      </c>
      <c r="B48" s="44" t="s">
        <v>704</v>
      </c>
      <c r="C48" s="45" t="s">
        <v>742</v>
      </c>
      <c r="D48" s="44" t="s">
        <v>145</v>
      </c>
    </row>
    <row r="49" customFormat="false" ht="15" hidden="false" customHeight="false" outlineLevel="0" collapsed="false">
      <c r="A49" s="45" t="s">
        <v>634</v>
      </c>
      <c r="B49" s="44" t="s">
        <v>704</v>
      </c>
      <c r="C49" s="45" t="s">
        <v>743</v>
      </c>
      <c r="D49" s="44" t="s">
        <v>145</v>
      </c>
    </row>
    <row r="50" customFormat="false" ht="15" hidden="false" customHeight="false" outlineLevel="0" collapsed="false">
      <c r="A50" s="45" t="s">
        <v>634</v>
      </c>
      <c r="B50" s="44" t="s">
        <v>704</v>
      </c>
      <c r="C50" s="45" t="s">
        <v>744</v>
      </c>
      <c r="D50" s="44" t="s">
        <v>145</v>
      </c>
    </row>
    <row r="51" customFormat="false" ht="15" hidden="false" customHeight="false" outlineLevel="0" collapsed="false">
      <c r="A51" s="45" t="s">
        <v>634</v>
      </c>
      <c r="B51" s="44" t="s">
        <v>704</v>
      </c>
      <c r="C51" s="45" t="s">
        <v>745</v>
      </c>
      <c r="D51" s="44" t="s">
        <v>145</v>
      </c>
    </row>
    <row r="52" customFormat="false" ht="15" hidden="false" customHeight="false" outlineLevel="0" collapsed="false">
      <c r="A52" s="45" t="s">
        <v>634</v>
      </c>
      <c r="B52" s="44" t="s">
        <v>704</v>
      </c>
      <c r="C52" s="45" t="s">
        <v>746</v>
      </c>
      <c r="D52" s="44" t="s">
        <v>145</v>
      </c>
    </row>
    <row r="53" customFormat="false" ht="15" hidden="false" customHeight="false" outlineLevel="0" collapsed="false">
      <c r="A53" s="45" t="s">
        <v>634</v>
      </c>
      <c r="B53" s="44" t="s">
        <v>704</v>
      </c>
      <c r="C53" s="45" t="s">
        <v>747</v>
      </c>
      <c r="D53" s="44" t="s">
        <v>145</v>
      </c>
    </row>
    <row r="54" customFormat="false" ht="15" hidden="false" customHeight="false" outlineLevel="0" collapsed="false">
      <c r="A54" s="45" t="s">
        <v>634</v>
      </c>
      <c r="B54" s="44" t="s">
        <v>712</v>
      </c>
      <c r="C54" s="45" t="s">
        <v>748</v>
      </c>
      <c r="D54" s="44" t="s">
        <v>145</v>
      </c>
    </row>
    <row r="55" customFormat="false" ht="15" hidden="false" customHeight="false" outlineLevel="0" collapsed="false">
      <c r="A55" s="45" t="s">
        <v>634</v>
      </c>
      <c r="B55" s="44" t="s">
        <v>712</v>
      </c>
      <c r="C55" s="45" t="s">
        <v>749</v>
      </c>
      <c r="D55" s="44" t="s">
        <v>145</v>
      </c>
    </row>
    <row r="56" customFormat="false" ht="15" hidden="false" customHeight="false" outlineLevel="0" collapsed="false">
      <c r="A56" s="45" t="s">
        <v>634</v>
      </c>
      <c r="B56" s="44" t="s">
        <v>712</v>
      </c>
      <c r="C56" s="45" t="s">
        <v>750</v>
      </c>
      <c r="D56" s="44" t="s">
        <v>145</v>
      </c>
    </row>
    <row r="57" customFormat="false" ht="15" hidden="false" customHeight="false" outlineLevel="0" collapsed="false">
      <c r="A57" s="45" t="s">
        <v>634</v>
      </c>
      <c r="B57" s="44" t="s">
        <v>716</v>
      </c>
      <c r="C57" s="45" t="s">
        <v>751</v>
      </c>
      <c r="D57" s="44" t="s">
        <v>145</v>
      </c>
    </row>
    <row r="58" customFormat="false" ht="15" hidden="false" customHeight="false" outlineLevel="0" collapsed="false">
      <c r="A58" s="45" t="s">
        <v>634</v>
      </c>
      <c r="B58" s="44" t="s">
        <v>716</v>
      </c>
      <c r="C58" s="45" t="s">
        <v>752</v>
      </c>
      <c r="D58" s="44" t="s">
        <v>145</v>
      </c>
    </row>
    <row r="59" customFormat="false" ht="15" hidden="false" customHeight="false" outlineLevel="0" collapsed="false">
      <c r="A59" s="45" t="s">
        <v>636</v>
      </c>
      <c r="B59" s="44" t="s">
        <v>695</v>
      </c>
      <c r="C59" s="45" t="s">
        <v>753</v>
      </c>
      <c r="D59" s="44" t="s">
        <v>145</v>
      </c>
    </row>
    <row r="60" customFormat="false" ht="15" hidden="false" customHeight="false" outlineLevel="0" collapsed="false">
      <c r="A60" s="45" t="s">
        <v>636</v>
      </c>
      <c r="B60" s="44" t="s">
        <v>695</v>
      </c>
      <c r="C60" s="45" t="s">
        <v>754</v>
      </c>
      <c r="D60" s="44" t="s">
        <v>145</v>
      </c>
    </row>
    <row r="61" customFormat="false" ht="15" hidden="false" customHeight="false" outlineLevel="0" collapsed="false">
      <c r="A61" s="45" t="s">
        <v>636</v>
      </c>
      <c r="B61" s="44" t="s">
        <v>695</v>
      </c>
      <c r="C61" s="45" t="s">
        <v>755</v>
      </c>
      <c r="D61" s="44" t="s">
        <v>145</v>
      </c>
    </row>
    <row r="62" customFormat="false" ht="15" hidden="false" customHeight="false" outlineLevel="0" collapsed="false">
      <c r="A62" s="45" t="s">
        <v>636</v>
      </c>
      <c r="B62" s="44" t="s">
        <v>695</v>
      </c>
      <c r="C62" s="45" t="s">
        <v>756</v>
      </c>
      <c r="D62" s="44" t="s">
        <v>145</v>
      </c>
    </row>
    <row r="63" customFormat="false" ht="15" hidden="false" customHeight="false" outlineLevel="0" collapsed="false">
      <c r="A63" s="45" t="s">
        <v>636</v>
      </c>
      <c r="B63" s="44" t="s">
        <v>695</v>
      </c>
      <c r="C63" s="45" t="s">
        <v>757</v>
      </c>
      <c r="D63" s="44" t="s">
        <v>145</v>
      </c>
    </row>
    <row r="64" customFormat="false" ht="15" hidden="false" customHeight="false" outlineLevel="0" collapsed="false">
      <c r="A64" s="45" t="s">
        <v>636</v>
      </c>
      <c r="B64" s="44" t="s">
        <v>695</v>
      </c>
      <c r="C64" s="45" t="s">
        <v>758</v>
      </c>
      <c r="D64" s="44" t="s">
        <v>145</v>
      </c>
    </row>
    <row r="65" customFormat="false" ht="15" hidden="false" customHeight="false" outlineLevel="0" collapsed="false">
      <c r="A65" s="45" t="s">
        <v>636</v>
      </c>
      <c r="B65" s="44" t="s">
        <v>704</v>
      </c>
      <c r="C65" s="45" t="s">
        <v>759</v>
      </c>
      <c r="D65" s="44" t="s">
        <v>145</v>
      </c>
    </row>
    <row r="66" customFormat="false" ht="15" hidden="false" customHeight="false" outlineLevel="0" collapsed="false">
      <c r="A66" s="45" t="s">
        <v>636</v>
      </c>
      <c r="B66" s="44" t="s">
        <v>704</v>
      </c>
      <c r="C66" s="45" t="s">
        <v>760</v>
      </c>
      <c r="D66" s="44" t="s">
        <v>145</v>
      </c>
    </row>
    <row r="67" customFormat="false" ht="15" hidden="false" customHeight="false" outlineLevel="0" collapsed="false">
      <c r="A67" s="45" t="s">
        <v>636</v>
      </c>
      <c r="B67" s="44" t="s">
        <v>704</v>
      </c>
      <c r="C67" s="45" t="s">
        <v>761</v>
      </c>
      <c r="D67" s="44" t="s">
        <v>145</v>
      </c>
    </row>
    <row r="68" customFormat="false" ht="15" hidden="false" customHeight="false" outlineLevel="0" collapsed="false">
      <c r="A68" s="45" t="s">
        <v>636</v>
      </c>
      <c r="B68" s="44" t="s">
        <v>704</v>
      </c>
      <c r="C68" s="45" t="s">
        <v>762</v>
      </c>
      <c r="D68" s="44" t="s">
        <v>145</v>
      </c>
    </row>
    <row r="69" customFormat="false" ht="15" hidden="false" customHeight="false" outlineLevel="0" collapsed="false">
      <c r="A69" s="45" t="s">
        <v>636</v>
      </c>
      <c r="B69" s="44" t="s">
        <v>704</v>
      </c>
      <c r="C69" s="45" t="s">
        <v>763</v>
      </c>
      <c r="D69" s="44" t="s">
        <v>145</v>
      </c>
    </row>
    <row r="70" customFormat="false" ht="15" hidden="false" customHeight="false" outlineLevel="0" collapsed="false">
      <c r="A70" s="45" t="s">
        <v>636</v>
      </c>
      <c r="B70" s="44" t="s">
        <v>712</v>
      </c>
      <c r="C70" s="45" t="s">
        <v>764</v>
      </c>
      <c r="D70" s="44" t="s">
        <v>145</v>
      </c>
    </row>
    <row r="71" customFormat="false" ht="15" hidden="false" customHeight="false" outlineLevel="0" collapsed="false">
      <c r="A71" s="45" t="s">
        <v>636</v>
      </c>
      <c r="B71" s="44" t="s">
        <v>712</v>
      </c>
      <c r="C71" s="45" t="s">
        <v>765</v>
      </c>
      <c r="D71" s="44" t="s">
        <v>145</v>
      </c>
    </row>
    <row r="72" customFormat="false" ht="15" hidden="false" customHeight="false" outlineLevel="0" collapsed="false">
      <c r="A72" s="45" t="s">
        <v>636</v>
      </c>
      <c r="B72" s="44" t="s">
        <v>716</v>
      </c>
      <c r="C72" s="45" t="s">
        <v>766</v>
      </c>
      <c r="D72" s="44" t="s">
        <v>145</v>
      </c>
    </row>
    <row r="73" customFormat="false" ht="15" hidden="false" customHeight="false" outlineLevel="0" collapsed="false">
      <c r="A73" s="45" t="s">
        <v>636</v>
      </c>
      <c r="B73" s="44" t="s">
        <v>716</v>
      </c>
      <c r="C73" s="45" t="s">
        <v>767</v>
      </c>
      <c r="D73" s="44" t="s">
        <v>145</v>
      </c>
    </row>
    <row r="74" customFormat="false" ht="15" hidden="false" customHeight="false" outlineLevel="0" collapsed="false">
      <c r="A74" s="45" t="s">
        <v>638</v>
      </c>
      <c r="B74" s="44" t="s">
        <v>695</v>
      </c>
      <c r="C74" s="45" t="s">
        <v>768</v>
      </c>
      <c r="D74" s="44" t="s">
        <v>145</v>
      </c>
    </row>
    <row r="75" customFormat="false" ht="15" hidden="false" customHeight="false" outlineLevel="0" collapsed="false">
      <c r="A75" s="45" t="s">
        <v>638</v>
      </c>
      <c r="B75" s="44" t="s">
        <v>695</v>
      </c>
      <c r="C75" s="45" t="s">
        <v>769</v>
      </c>
      <c r="D75" s="44" t="s">
        <v>145</v>
      </c>
    </row>
    <row r="76" customFormat="false" ht="15" hidden="false" customHeight="false" outlineLevel="0" collapsed="false">
      <c r="A76" s="45" t="s">
        <v>638</v>
      </c>
      <c r="B76" s="44" t="s">
        <v>695</v>
      </c>
      <c r="C76" s="45" t="s">
        <v>770</v>
      </c>
      <c r="D76" s="44" t="s">
        <v>145</v>
      </c>
    </row>
    <row r="77" customFormat="false" ht="15" hidden="false" customHeight="false" outlineLevel="0" collapsed="false">
      <c r="A77" s="45" t="s">
        <v>638</v>
      </c>
      <c r="B77" s="44" t="s">
        <v>695</v>
      </c>
      <c r="C77" s="45" t="s">
        <v>771</v>
      </c>
      <c r="D77" s="44" t="s">
        <v>145</v>
      </c>
    </row>
    <row r="78" customFormat="false" ht="15" hidden="false" customHeight="false" outlineLevel="0" collapsed="false">
      <c r="A78" s="45" t="s">
        <v>638</v>
      </c>
      <c r="B78" s="44" t="s">
        <v>695</v>
      </c>
      <c r="C78" s="45" t="s">
        <v>772</v>
      </c>
      <c r="D78" s="44" t="s">
        <v>145</v>
      </c>
    </row>
    <row r="79" customFormat="false" ht="15" hidden="false" customHeight="false" outlineLevel="0" collapsed="false">
      <c r="A79" s="45" t="s">
        <v>638</v>
      </c>
      <c r="B79" s="44" t="s">
        <v>695</v>
      </c>
      <c r="C79" s="45" t="s">
        <v>773</v>
      </c>
      <c r="D79" s="44" t="s">
        <v>145</v>
      </c>
    </row>
    <row r="80" customFormat="false" ht="15" hidden="false" customHeight="false" outlineLevel="0" collapsed="false">
      <c r="A80" s="45" t="s">
        <v>638</v>
      </c>
      <c r="B80" s="44" t="s">
        <v>704</v>
      </c>
      <c r="C80" s="45" t="s">
        <v>774</v>
      </c>
      <c r="D80" s="44" t="s">
        <v>145</v>
      </c>
    </row>
    <row r="81" customFormat="false" ht="15" hidden="false" customHeight="false" outlineLevel="0" collapsed="false">
      <c r="A81" s="45" t="s">
        <v>638</v>
      </c>
      <c r="B81" s="44" t="s">
        <v>704</v>
      </c>
      <c r="C81" s="45" t="s">
        <v>775</v>
      </c>
      <c r="D81" s="44" t="s">
        <v>145</v>
      </c>
    </row>
    <row r="82" customFormat="false" ht="15" hidden="false" customHeight="false" outlineLevel="0" collapsed="false">
      <c r="A82" s="45" t="s">
        <v>638</v>
      </c>
      <c r="B82" s="44" t="s">
        <v>704</v>
      </c>
      <c r="C82" s="45" t="s">
        <v>776</v>
      </c>
      <c r="D82" s="44" t="s">
        <v>145</v>
      </c>
    </row>
    <row r="83" customFormat="false" ht="15" hidden="false" customHeight="false" outlineLevel="0" collapsed="false">
      <c r="A83" s="45" t="s">
        <v>638</v>
      </c>
      <c r="B83" s="44" t="s">
        <v>704</v>
      </c>
      <c r="C83" s="45" t="s">
        <v>777</v>
      </c>
      <c r="D83" s="44" t="s">
        <v>145</v>
      </c>
    </row>
    <row r="84" customFormat="false" ht="15" hidden="false" customHeight="false" outlineLevel="0" collapsed="false">
      <c r="A84" s="45" t="s">
        <v>638</v>
      </c>
      <c r="B84" s="44" t="s">
        <v>704</v>
      </c>
      <c r="C84" s="45" t="s">
        <v>778</v>
      </c>
      <c r="D84" s="44" t="s">
        <v>145</v>
      </c>
    </row>
    <row r="85" customFormat="false" ht="15" hidden="false" customHeight="false" outlineLevel="0" collapsed="false">
      <c r="A85" s="45" t="s">
        <v>638</v>
      </c>
      <c r="B85" s="44" t="s">
        <v>712</v>
      </c>
      <c r="C85" s="45" t="s">
        <v>779</v>
      </c>
      <c r="D85" s="44" t="s">
        <v>145</v>
      </c>
    </row>
    <row r="86" customFormat="false" ht="15" hidden="false" customHeight="false" outlineLevel="0" collapsed="false">
      <c r="A86" s="45" t="s">
        <v>638</v>
      </c>
      <c r="B86" s="44" t="s">
        <v>712</v>
      </c>
      <c r="C86" s="45" t="s">
        <v>780</v>
      </c>
      <c r="D86" s="44" t="s">
        <v>145</v>
      </c>
    </row>
    <row r="87" customFormat="false" ht="15" hidden="false" customHeight="false" outlineLevel="0" collapsed="false">
      <c r="A87" s="45" t="s">
        <v>638</v>
      </c>
      <c r="B87" s="44" t="s">
        <v>716</v>
      </c>
      <c r="C87" s="45" t="s">
        <v>781</v>
      </c>
      <c r="D87" s="44" t="s">
        <v>145</v>
      </c>
    </row>
    <row r="88" customFormat="false" ht="15" hidden="false" customHeight="false" outlineLevel="0" collapsed="false">
      <c r="A88" s="45" t="s">
        <v>638</v>
      </c>
      <c r="B88" s="44" t="s">
        <v>716</v>
      </c>
      <c r="C88" s="45" t="s">
        <v>782</v>
      </c>
      <c r="D88" s="44" t="s">
        <v>145</v>
      </c>
    </row>
    <row r="89" customFormat="false" ht="15" hidden="false" customHeight="false" outlineLevel="0" collapsed="false">
      <c r="A89" s="45" t="s">
        <v>21</v>
      </c>
      <c r="B89" s="44" t="s">
        <v>695</v>
      </c>
      <c r="C89" s="45" t="s">
        <v>783</v>
      </c>
      <c r="D89" s="44" t="s">
        <v>145</v>
      </c>
    </row>
    <row r="90" customFormat="false" ht="15" hidden="false" customHeight="false" outlineLevel="0" collapsed="false">
      <c r="A90" s="45" t="s">
        <v>21</v>
      </c>
      <c r="B90" s="44" t="s">
        <v>695</v>
      </c>
      <c r="C90" s="45" t="s">
        <v>784</v>
      </c>
      <c r="D90" s="44" t="s">
        <v>145</v>
      </c>
    </row>
    <row r="91" customFormat="false" ht="15" hidden="false" customHeight="false" outlineLevel="0" collapsed="false">
      <c r="A91" s="45" t="s">
        <v>21</v>
      </c>
      <c r="B91" s="44" t="s">
        <v>695</v>
      </c>
      <c r="C91" s="45" t="s">
        <v>785</v>
      </c>
      <c r="D91" s="44" t="s">
        <v>145</v>
      </c>
    </row>
    <row r="92" customFormat="false" ht="15" hidden="false" customHeight="false" outlineLevel="0" collapsed="false">
      <c r="A92" s="45" t="s">
        <v>21</v>
      </c>
      <c r="B92" s="44" t="s">
        <v>695</v>
      </c>
      <c r="C92" s="45" t="s">
        <v>786</v>
      </c>
      <c r="D92" s="44" t="s">
        <v>145</v>
      </c>
    </row>
    <row r="93" customFormat="false" ht="15" hidden="false" customHeight="false" outlineLevel="0" collapsed="false">
      <c r="A93" s="45" t="s">
        <v>21</v>
      </c>
      <c r="B93" s="44" t="s">
        <v>695</v>
      </c>
      <c r="C93" s="45" t="s">
        <v>787</v>
      </c>
      <c r="D93" s="44" t="s">
        <v>145</v>
      </c>
    </row>
    <row r="94" customFormat="false" ht="15" hidden="false" customHeight="false" outlineLevel="0" collapsed="false">
      <c r="A94" s="45" t="s">
        <v>21</v>
      </c>
      <c r="B94" s="44" t="s">
        <v>695</v>
      </c>
      <c r="C94" s="45" t="s">
        <v>788</v>
      </c>
      <c r="D94" s="44" t="s">
        <v>145</v>
      </c>
    </row>
    <row r="95" customFormat="false" ht="15" hidden="false" customHeight="false" outlineLevel="0" collapsed="false">
      <c r="A95" s="45" t="s">
        <v>21</v>
      </c>
      <c r="B95" s="44" t="s">
        <v>704</v>
      </c>
      <c r="C95" s="45" t="s">
        <v>789</v>
      </c>
      <c r="D95" s="44" t="s">
        <v>145</v>
      </c>
    </row>
    <row r="96" customFormat="false" ht="15" hidden="false" customHeight="false" outlineLevel="0" collapsed="false">
      <c r="A96" s="45" t="s">
        <v>21</v>
      </c>
      <c r="B96" s="44" t="s">
        <v>704</v>
      </c>
      <c r="C96" s="45" t="s">
        <v>790</v>
      </c>
      <c r="D96" s="44" t="s">
        <v>145</v>
      </c>
    </row>
    <row r="97" customFormat="false" ht="15" hidden="false" customHeight="false" outlineLevel="0" collapsed="false">
      <c r="A97" s="45" t="s">
        <v>21</v>
      </c>
      <c r="B97" s="44" t="s">
        <v>704</v>
      </c>
      <c r="C97" s="45" t="s">
        <v>791</v>
      </c>
      <c r="D97" s="44" t="s">
        <v>145</v>
      </c>
    </row>
    <row r="98" customFormat="false" ht="15" hidden="false" customHeight="false" outlineLevel="0" collapsed="false">
      <c r="A98" s="45" t="s">
        <v>21</v>
      </c>
      <c r="B98" s="44" t="s">
        <v>704</v>
      </c>
      <c r="C98" s="45" t="s">
        <v>792</v>
      </c>
      <c r="D98" s="44" t="s">
        <v>145</v>
      </c>
    </row>
    <row r="99" customFormat="false" ht="15" hidden="false" customHeight="false" outlineLevel="0" collapsed="false">
      <c r="A99" s="45" t="s">
        <v>21</v>
      </c>
      <c r="B99" s="44" t="s">
        <v>712</v>
      </c>
      <c r="C99" s="45" t="s">
        <v>793</v>
      </c>
      <c r="D99" s="44" t="s">
        <v>145</v>
      </c>
    </row>
    <row r="100" customFormat="false" ht="15" hidden="false" customHeight="false" outlineLevel="0" collapsed="false">
      <c r="A100" s="45" t="s">
        <v>21</v>
      </c>
      <c r="B100" s="44" t="s">
        <v>712</v>
      </c>
      <c r="C100" s="45" t="s">
        <v>794</v>
      </c>
      <c r="D100" s="44" t="s">
        <v>145</v>
      </c>
    </row>
    <row r="101" customFormat="false" ht="15" hidden="false" customHeight="false" outlineLevel="0" collapsed="false">
      <c r="A101" s="45" t="s">
        <v>21</v>
      </c>
      <c r="B101" s="44" t="s">
        <v>716</v>
      </c>
      <c r="C101" s="45" t="s">
        <v>795</v>
      </c>
      <c r="D101" s="44" t="s">
        <v>145</v>
      </c>
    </row>
    <row r="102" customFormat="false" ht="15" hidden="false" customHeight="false" outlineLevel="0" collapsed="false">
      <c r="A102" s="45" t="s">
        <v>21</v>
      </c>
      <c r="B102" s="44" t="s">
        <v>716</v>
      </c>
      <c r="C102" s="45" t="s">
        <v>796</v>
      </c>
      <c r="D102" s="44" t="s">
        <v>145</v>
      </c>
    </row>
    <row r="103" customFormat="false" ht="15" hidden="false" customHeight="false" outlineLevel="0" collapsed="false">
      <c r="A103" s="45"/>
      <c r="B103" s="44"/>
      <c r="C103" s="45"/>
      <c r="D103" s="44"/>
    </row>
    <row r="104" customFormat="false" ht="15" hidden="false" customHeight="false" outlineLevel="0" collapsed="false">
      <c r="A104" s="45"/>
      <c r="B104" s="44"/>
      <c r="C104" s="45"/>
      <c r="D104" s="44"/>
    </row>
    <row r="105" customFormat="false" ht="15" hidden="false" customHeight="false" outlineLevel="0" collapsed="false">
      <c r="A105" s="45"/>
      <c r="B105" s="44"/>
      <c r="C105" s="45"/>
      <c r="D105" s="44"/>
    </row>
    <row r="106" customFormat="false" ht="15" hidden="false" customHeight="false" outlineLevel="0" collapsed="false">
      <c r="A106" s="45"/>
      <c r="B106" s="44"/>
      <c r="C106" s="45"/>
      <c r="D106" s="44"/>
    </row>
    <row r="107" customFormat="false" ht="15" hidden="false" customHeight="false" outlineLevel="0" collapsed="false">
      <c r="A107" s="45"/>
      <c r="B107" s="44"/>
      <c r="C107" s="45"/>
      <c r="D107" s="44"/>
    </row>
    <row r="108" customFormat="false" ht="15" hidden="false" customHeight="false" outlineLevel="0" collapsed="false">
      <c r="A108" s="45"/>
      <c r="B108" s="44"/>
      <c r="C108" s="45"/>
      <c r="D108" s="44"/>
    </row>
    <row r="109" customFormat="false" ht="15" hidden="false" customHeight="false" outlineLevel="0" collapsed="false">
      <c r="A109" s="45"/>
      <c r="B109" s="44"/>
      <c r="C109" s="45"/>
      <c r="D109" s="44"/>
    </row>
    <row r="110" customFormat="false" ht="15" hidden="false" customHeight="false" outlineLevel="0" collapsed="false">
      <c r="A110" s="45"/>
      <c r="B110" s="44"/>
      <c r="C110" s="45"/>
      <c r="D110" s="44"/>
    </row>
    <row r="111" customFormat="false" ht="15" hidden="false" customHeight="false" outlineLevel="0" collapsed="false">
      <c r="A111" s="45"/>
      <c r="B111" s="44"/>
      <c r="C111" s="45"/>
      <c r="D111" s="44"/>
    </row>
    <row r="112" customFormat="false" ht="15" hidden="false" customHeight="false" outlineLevel="0" collapsed="false">
      <c r="A112" s="45"/>
      <c r="B112" s="44"/>
      <c r="C112" s="45"/>
      <c r="D112" s="44"/>
    </row>
    <row r="113" customFormat="false" ht="15" hidden="false" customHeight="false" outlineLevel="0" collapsed="false">
      <c r="A113" s="45"/>
      <c r="B113" s="44"/>
      <c r="C113" s="45"/>
      <c r="D113" s="44"/>
    </row>
    <row r="114" customFormat="false" ht="15" hidden="false" customHeight="false" outlineLevel="0" collapsed="false">
      <c r="A114" s="45"/>
      <c r="B114" s="44"/>
      <c r="C114" s="45"/>
      <c r="D114" s="44"/>
    </row>
    <row r="115" customFormat="false" ht="15" hidden="false" customHeight="false" outlineLevel="0" collapsed="false">
      <c r="A115" s="45"/>
      <c r="B115" s="44"/>
      <c r="C115" s="45"/>
      <c r="D115" s="44"/>
    </row>
    <row r="116" customFormat="false" ht="15" hidden="false" customHeight="false" outlineLevel="0" collapsed="false">
      <c r="A116" s="45"/>
      <c r="B116" s="44"/>
      <c r="C116" s="45"/>
      <c r="D116" s="44"/>
    </row>
    <row r="117" customFormat="false" ht="15" hidden="false" customHeight="false" outlineLevel="0" collapsed="false">
      <c r="A117" s="45"/>
      <c r="B117" s="44"/>
      <c r="C117" s="45"/>
      <c r="D117" s="44"/>
    </row>
    <row r="118" customFormat="false" ht="15" hidden="false" customHeight="false" outlineLevel="0" collapsed="false">
      <c r="A118" s="45"/>
      <c r="B118" s="44"/>
      <c r="C118" s="45"/>
      <c r="D118" s="44"/>
    </row>
    <row r="119" customFormat="false" ht="15" hidden="false" customHeight="false" outlineLevel="0" collapsed="false">
      <c r="A119" s="45"/>
      <c r="B119" s="44"/>
      <c r="C119" s="45"/>
      <c r="D119" s="44"/>
    </row>
    <row r="120" customFormat="false" ht="15" hidden="false" customHeight="false" outlineLevel="0" collapsed="false">
      <c r="A120" s="45"/>
      <c r="B120" s="44"/>
      <c r="C120" s="45"/>
      <c r="D120" s="44"/>
    </row>
    <row r="121" customFormat="false" ht="15" hidden="false" customHeight="false" outlineLevel="0" collapsed="false">
      <c r="A121" s="45"/>
      <c r="B121" s="44"/>
      <c r="C121" s="45"/>
      <c r="D121" s="44"/>
    </row>
    <row r="122" customFormat="false" ht="15" hidden="false" customHeight="false" outlineLevel="0" collapsed="false">
      <c r="A122" s="45"/>
      <c r="B122" s="44"/>
      <c r="C122" s="45"/>
      <c r="D122" s="44"/>
    </row>
    <row r="123" customFormat="false" ht="15" hidden="false" customHeight="false" outlineLevel="0" collapsed="false">
      <c r="A123" s="45"/>
      <c r="B123" s="44"/>
      <c r="C123" s="45"/>
      <c r="D123" s="44"/>
    </row>
    <row r="124" customFormat="false" ht="15" hidden="false" customHeight="false" outlineLevel="0" collapsed="false">
      <c r="A124" s="45"/>
      <c r="B124" s="44"/>
      <c r="C124" s="45"/>
      <c r="D124" s="44"/>
    </row>
    <row r="125" customFormat="false" ht="15" hidden="false" customHeight="false" outlineLevel="0" collapsed="false">
      <c r="A125" s="45"/>
      <c r="B125" s="44"/>
      <c r="C125" s="45"/>
      <c r="D125" s="44"/>
    </row>
    <row r="126" customFormat="false" ht="15" hidden="false" customHeight="false" outlineLevel="0" collapsed="false">
      <c r="A126" s="45"/>
      <c r="B126" s="44"/>
      <c r="C126" s="45"/>
      <c r="D126" s="44"/>
    </row>
    <row r="127" customFormat="false" ht="15" hidden="false" customHeight="false" outlineLevel="0" collapsed="false">
      <c r="A127" s="45"/>
      <c r="B127" s="44"/>
      <c r="C127" s="45"/>
      <c r="D127" s="44"/>
    </row>
    <row r="128" customFormat="false" ht="15" hidden="false" customHeight="false" outlineLevel="0" collapsed="false">
      <c r="A128" s="45"/>
      <c r="B128" s="44"/>
      <c r="C128" s="45"/>
      <c r="D128" s="44"/>
    </row>
    <row r="129" customFormat="false" ht="15" hidden="false" customHeight="false" outlineLevel="0" collapsed="false">
      <c r="A129" s="45"/>
      <c r="B129" s="44"/>
      <c r="C129" s="45"/>
      <c r="D129" s="44"/>
    </row>
    <row r="130" customFormat="false" ht="15" hidden="false" customHeight="false" outlineLevel="0" collapsed="false">
      <c r="A130" s="45"/>
      <c r="B130" s="44"/>
      <c r="C130" s="45"/>
      <c r="D130" s="44"/>
    </row>
    <row r="131" customFormat="false" ht="15" hidden="false" customHeight="false" outlineLevel="0" collapsed="false">
      <c r="A131" s="45"/>
      <c r="B131" s="44"/>
      <c r="C131" s="45"/>
      <c r="D131" s="44"/>
    </row>
    <row r="132" customFormat="false" ht="15" hidden="false" customHeight="false" outlineLevel="0" collapsed="false">
      <c r="A132" s="45"/>
      <c r="B132" s="44"/>
      <c r="C132" s="45"/>
      <c r="D132" s="44"/>
    </row>
    <row r="133" customFormat="false" ht="15" hidden="false" customHeight="false" outlineLevel="0" collapsed="false">
      <c r="A133" s="45"/>
      <c r="B133" s="44"/>
      <c r="C133" s="45"/>
      <c r="D133" s="44"/>
    </row>
    <row r="134" customFormat="false" ht="15" hidden="false" customHeight="false" outlineLevel="0" collapsed="false">
      <c r="A134" s="45"/>
      <c r="B134" s="44"/>
      <c r="C134" s="45"/>
      <c r="D134" s="44"/>
    </row>
    <row r="135" customFormat="false" ht="15" hidden="false" customHeight="false" outlineLevel="0" collapsed="false">
      <c r="A135" s="45"/>
      <c r="B135" s="44"/>
      <c r="C135" s="45"/>
      <c r="D135" s="44"/>
    </row>
    <row r="136" customFormat="false" ht="15" hidden="false" customHeight="false" outlineLevel="0" collapsed="false">
      <c r="A136" s="45"/>
      <c r="B136" s="44"/>
      <c r="C136" s="45"/>
      <c r="D136" s="44"/>
    </row>
    <row r="137" customFormat="false" ht="15" hidden="false" customHeight="false" outlineLevel="0" collapsed="false">
      <c r="A137" s="45"/>
      <c r="B137" s="44"/>
      <c r="C137" s="45"/>
      <c r="D137" s="44"/>
    </row>
    <row r="138" customFormat="false" ht="15" hidden="false" customHeight="false" outlineLevel="0" collapsed="false">
      <c r="A138" s="45"/>
      <c r="B138" s="44"/>
      <c r="C138" s="45"/>
      <c r="D138" s="44"/>
    </row>
    <row r="139" customFormat="false" ht="15" hidden="false" customHeight="false" outlineLevel="0" collapsed="false">
      <c r="A139" s="45"/>
      <c r="B139" s="44"/>
      <c r="C139" s="45"/>
      <c r="D139" s="44"/>
    </row>
    <row r="140" customFormat="false" ht="15" hidden="false" customHeight="false" outlineLevel="0" collapsed="false">
      <c r="A140" s="45"/>
      <c r="B140" s="44"/>
      <c r="C140" s="45"/>
      <c r="D140" s="44"/>
    </row>
    <row r="141" customFormat="false" ht="15" hidden="false" customHeight="false" outlineLevel="0" collapsed="false">
      <c r="A141" s="45"/>
      <c r="B141" s="44"/>
      <c r="C141" s="45"/>
      <c r="D141" s="44"/>
    </row>
    <row r="142" customFormat="false" ht="15" hidden="false" customHeight="false" outlineLevel="0" collapsed="false">
      <c r="A142" s="45"/>
      <c r="B142" s="44"/>
      <c r="C142" s="45"/>
      <c r="D142" s="44"/>
    </row>
    <row r="143" customFormat="false" ht="15" hidden="false" customHeight="false" outlineLevel="0" collapsed="false">
      <c r="A143" s="45"/>
      <c r="B143" s="44"/>
      <c r="C143" s="45"/>
      <c r="D143" s="44"/>
    </row>
    <row r="144" customFormat="false" ht="15" hidden="false" customHeight="false" outlineLevel="0" collapsed="false">
      <c r="A144" s="45"/>
      <c r="B144" s="44"/>
      <c r="C144" s="45"/>
      <c r="D144" s="44"/>
    </row>
    <row r="145" customFormat="false" ht="15" hidden="false" customHeight="false" outlineLevel="0" collapsed="false">
      <c r="A145" s="45"/>
      <c r="B145" s="44"/>
      <c r="C145" s="45"/>
      <c r="D145" s="44"/>
    </row>
    <row r="146" customFormat="false" ht="15" hidden="false" customHeight="false" outlineLevel="0" collapsed="false">
      <c r="A146" s="45"/>
      <c r="B146" s="44"/>
      <c r="C146" s="45"/>
      <c r="D146" s="44"/>
    </row>
    <row r="147" customFormat="false" ht="15" hidden="false" customHeight="false" outlineLevel="0" collapsed="false">
      <c r="A147" s="45"/>
      <c r="B147" s="44"/>
      <c r="C147" s="45"/>
      <c r="D147" s="44"/>
    </row>
    <row r="148" customFormat="false" ht="15" hidden="false" customHeight="false" outlineLevel="0" collapsed="false">
      <c r="A148" s="45"/>
      <c r="B148" s="44"/>
      <c r="C148" s="45"/>
      <c r="D148" s="44"/>
    </row>
    <row r="149" customFormat="false" ht="15" hidden="false" customHeight="false" outlineLevel="0" collapsed="false">
      <c r="A149" s="45"/>
      <c r="B149" s="44"/>
      <c r="C149" s="45"/>
      <c r="D149" s="44"/>
    </row>
    <row r="150" customFormat="false" ht="15" hidden="false" customHeight="false" outlineLevel="0" collapsed="false">
      <c r="A150" s="45"/>
      <c r="B150" s="44"/>
      <c r="C150" s="45"/>
      <c r="D150" s="44"/>
    </row>
    <row r="151" customFormat="false" ht="15" hidden="false" customHeight="false" outlineLevel="0" collapsed="false">
      <c r="A151" s="45"/>
      <c r="B151" s="44"/>
      <c r="C151" s="45"/>
      <c r="D151" s="44"/>
    </row>
    <row r="152" customFormat="false" ht="15" hidden="false" customHeight="false" outlineLevel="0" collapsed="false">
      <c r="A152" s="45"/>
      <c r="B152" s="44"/>
      <c r="C152" s="45"/>
      <c r="D152" s="44"/>
    </row>
    <row r="153" customFormat="false" ht="15" hidden="false" customHeight="false" outlineLevel="0" collapsed="false">
      <c r="A153" s="45"/>
      <c r="B153" s="44"/>
      <c r="C153" s="45"/>
      <c r="D153" s="44"/>
    </row>
    <row r="154" customFormat="false" ht="15" hidden="false" customHeight="false" outlineLevel="0" collapsed="false">
      <c r="A154" s="45"/>
      <c r="B154" s="44"/>
      <c r="C154" s="45"/>
      <c r="D154" s="44"/>
    </row>
    <row r="155" customFormat="false" ht="15" hidden="false" customHeight="false" outlineLevel="0" collapsed="false">
      <c r="A155" s="45"/>
      <c r="B155" s="44"/>
      <c r="C155" s="45"/>
      <c r="D155" s="44"/>
    </row>
    <row r="156" customFormat="false" ht="15" hidden="false" customHeight="false" outlineLevel="0" collapsed="false">
      <c r="A156" s="45"/>
      <c r="B156" s="44"/>
      <c r="C156" s="45"/>
      <c r="D156" s="44"/>
    </row>
    <row r="157" customFormat="false" ht="15" hidden="false" customHeight="false" outlineLevel="0" collapsed="false">
      <c r="A157" s="45"/>
      <c r="B157" s="44"/>
      <c r="C157" s="45"/>
      <c r="D157" s="44"/>
    </row>
    <row r="158" customFormat="false" ht="15" hidden="false" customHeight="false" outlineLevel="0" collapsed="false">
      <c r="A158" s="45"/>
      <c r="B158" s="44"/>
      <c r="C158" s="45"/>
      <c r="D158" s="44"/>
    </row>
    <row r="159" customFormat="false" ht="15" hidden="false" customHeight="false" outlineLevel="0" collapsed="false">
      <c r="A159" s="45"/>
      <c r="B159" s="44"/>
      <c r="C159" s="45"/>
      <c r="D159" s="44"/>
    </row>
    <row r="160" customFormat="false" ht="15" hidden="false" customHeight="false" outlineLevel="0" collapsed="false">
      <c r="A160" s="45"/>
      <c r="B160" s="44"/>
      <c r="C160" s="45"/>
      <c r="D160" s="44"/>
    </row>
    <row r="161" customFormat="false" ht="15" hidden="false" customHeight="false" outlineLevel="0" collapsed="false">
      <c r="A161" s="45"/>
      <c r="B161" s="44"/>
      <c r="C161" s="45"/>
      <c r="D161" s="44"/>
    </row>
    <row r="162" customFormat="false" ht="15" hidden="false" customHeight="false" outlineLevel="0" collapsed="false">
      <c r="A162" s="45"/>
      <c r="B162" s="44"/>
      <c r="C162" s="45"/>
      <c r="D162" s="44"/>
    </row>
    <row r="163" customFormat="false" ht="15" hidden="false" customHeight="false" outlineLevel="0" collapsed="false">
      <c r="A163" s="45"/>
      <c r="B163" s="44"/>
      <c r="C163" s="45"/>
      <c r="D163" s="44"/>
    </row>
    <row r="164" customFormat="false" ht="15" hidden="false" customHeight="false" outlineLevel="0" collapsed="false">
      <c r="A164" s="45"/>
      <c r="B164" s="44"/>
      <c r="C164" s="45"/>
      <c r="D164" s="44"/>
    </row>
    <row r="165" customFormat="false" ht="15" hidden="false" customHeight="false" outlineLevel="0" collapsed="false">
      <c r="A165" s="45"/>
      <c r="B165" s="44"/>
      <c r="C165" s="45"/>
      <c r="D165" s="44"/>
    </row>
    <row r="166" customFormat="false" ht="15" hidden="false" customHeight="false" outlineLevel="0" collapsed="false">
      <c r="A166" s="45"/>
      <c r="B166" s="44"/>
      <c r="C166" s="45"/>
      <c r="D166" s="44"/>
    </row>
    <row r="167" customFormat="false" ht="15" hidden="false" customHeight="false" outlineLevel="0" collapsed="false">
      <c r="A167" s="45"/>
      <c r="B167" s="44"/>
      <c r="C167" s="45"/>
      <c r="D167" s="44"/>
    </row>
    <row r="168" customFormat="false" ht="15" hidden="false" customHeight="false" outlineLevel="0" collapsed="false">
      <c r="A168" s="45"/>
      <c r="B168" s="44"/>
      <c r="C168" s="45"/>
      <c r="D168" s="44"/>
    </row>
    <row r="169" customFormat="false" ht="15" hidden="false" customHeight="false" outlineLevel="0" collapsed="false">
      <c r="A169" s="45"/>
      <c r="B169" s="44"/>
      <c r="C169" s="45"/>
      <c r="D169" s="44"/>
    </row>
    <row r="170" customFormat="false" ht="15" hidden="false" customHeight="false" outlineLevel="0" collapsed="false">
      <c r="A170" s="45"/>
      <c r="B170" s="44"/>
      <c r="C170" s="45"/>
      <c r="D170" s="44"/>
    </row>
    <row r="171" customFormat="false" ht="15" hidden="false" customHeight="false" outlineLevel="0" collapsed="false">
      <c r="A171" s="45"/>
      <c r="B171" s="44"/>
      <c r="C171" s="45"/>
      <c r="D171" s="44"/>
    </row>
    <row r="172" customFormat="false" ht="15" hidden="false" customHeight="false" outlineLevel="0" collapsed="false">
      <c r="A172" s="45"/>
      <c r="B172" s="44"/>
      <c r="C172" s="45"/>
      <c r="D172" s="44"/>
    </row>
    <row r="173" customFormat="false" ht="15" hidden="false" customHeight="false" outlineLevel="0" collapsed="false">
      <c r="A173" s="45"/>
      <c r="B173" s="44"/>
      <c r="C173" s="45"/>
      <c r="D173" s="44"/>
    </row>
    <row r="174" customFormat="false" ht="15" hidden="false" customHeight="false" outlineLevel="0" collapsed="false">
      <c r="A174" s="45"/>
      <c r="B174" s="44"/>
      <c r="C174" s="45"/>
      <c r="D174" s="44"/>
    </row>
    <row r="175" customFormat="false" ht="15" hidden="false" customHeight="false" outlineLevel="0" collapsed="false">
      <c r="A175" s="45"/>
      <c r="B175" s="44"/>
      <c r="C175" s="45"/>
      <c r="D175" s="44"/>
    </row>
    <row r="176" customFormat="false" ht="15" hidden="false" customHeight="false" outlineLevel="0" collapsed="false">
      <c r="A176" s="45"/>
      <c r="B176" s="44"/>
      <c r="C176" s="45"/>
      <c r="D176" s="44"/>
    </row>
    <row r="177" customFormat="false" ht="15" hidden="false" customHeight="false" outlineLevel="0" collapsed="false">
      <c r="A177" s="45"/>
      <c r="B177" s="44"/>
      <c r="C177" s="45"/>
      <c r="D177" s="44"/>
    </row>
    <row r="178" customFormat="false" ht="15" hidden="false" customHeight="false" outlineLevel="0" collapsed="false">
      <c r="A178" s="45"/>
      <c r="B178" s="44"/>
      <c r="C178" s="45"/>
      <c r="D178" s="44"/>
    </row>
    <row r="179" customFormat="false" ht="15" hidden="false" customHeight="false" outlineLevel="0" collapsed="false">
      <c r="A179" s="45"/>
      <c r="B179" s="44"/>
      <c r="C179" s="45"/>
      <c r="D179" s="44"/>
    </row>
    <row r="180" customFormat="false" ht="15" hidden="false" customHeight="false" outlineLevel="0" collapsed="false">
      <c r="A180" s="45"/>
      <c r="B180" s="44"/>
      <c r="C180" s="45"/>
      <c r="D180" s="44"/>
    </row>
    <row r="181" customFormat="false" ht="15" hidden="false" customHeight="false" outlineLevel="0" collapsed="false">
      <c r="A181" s="45"/>
      <c r="B181" s="44"/>
      <c r="C181" s="45"/>
      <c r="D181" s="44"/>
    </row>
    <row r="182" customFormat="false" ht="15" hidden="false" customHeight="false" outlineLevel="0" collapsed="false">
      <c r="A182" s="45"/>
      <c r="B182" s="44"/>
      <c r="C182" s="45"/>
      <c r="D182" s="44"/>
    </row>
    <row r="183" customFormat="false" ht="15" hidden="false" customHeight="false" outlineLevel="0" collapsed="false">
      <c r="A183" s="45"/>
      <c r="B183" s="44"/>
      <c r="C183" s="45"/>
      <c r="D183" s="44"/>
    </row>
    <row r="184" customFormat="false" ht="15" hidden="false" customHeight="false" outlineLevel="0" collapsed="false">
      <c r="A184" s="45"/>
      <c r="B184" s="44"/>
      <c r="C184" s="45"/>
      <c r="D184" s="44"/>
    </row>
    <row r="185" customFormat="false" ht="15" hidden="false" customHeight="false" outlineLevel="0" collapsed="false">
      <c r="A185" s="45"/>
      <c r="B185" s="44"/>
      <c r="C185" s="45"/>
      <c r="D185" s="44"/>
    </row>
    <row r="186" customFormat="false" ht="15" hidden="false" customHeight="false" outlineLevel="0" collapsed="false">
      <c r="A186" s="45"/>
      <c r="B186" s="44"/>
      <c r="C186" s="45"/>
      <c r="D186" s="44"/>
    </row>
    <row r="187" customFormat="false" ht="15" hidden="false" customHeight="false" outlineLevel="0" collapsed="false">
      <c r="A187" s="45"/>
      <c r="B187" s="44"/>
      <c r="C187" s="45"/>
      <c r="D187" s="44"/>
    </row>
    <row r="188" customFormat="false" ht="15" hidden="false" customHeight="false" outlineLevel="0" collapsed="false">
      <c r="A188" s="45"/>
      <c r="B188" s="44"/>
      <c r="C188" s="45"/>
      <c r="D188" s="44"/>
    </row>
    <row r="189" customFormat="false" ht="15" hidden="false" customHeight="false" outlineLevel="0" collapsed="false">
      <c r="A189" s="45"/>
      <c r="B189" s="44"/>
      <c r="C189" s="45"/>
      <c r="D189" s="44"/>
    </row>
    <row r="190" customFormat="false" ht="15" hidden="false" customHeight="false" outlineLevel="0" collapsed="false">
      <c r="A190" s="45"/>
      <c r="B190" s="44"/>
      <c r="C190" s="45"/>
      <c r="D190" s="44"/>
    </row>
    <row r="191" customFormat="false" ht="15" hidden="false" customHeight="false" outlineLevel="0" collapsed="false">
      <c r="A191" s="45"/>
      <c r="B191" s="44"/>
      <c r="C191" s="45"/>
      <c r="D191" s="44"/>
    </row>
    <row r="192" customFormat="false" ht="15" hidden="false" customHeight="false" outlineLevel="0" collapsed="false">
      <c r="A192" s="45"/>
      <c r="B192" s="44"/>
      <c r="C192" s="45"/>
      <c r="D192" s="44"/>
    </row>
    <row r="193" customFormat="false" ht="15" hidden="false" customHeight="false" outlineLevel="0" collapsed="false">
      <c r="A193" s="45"/>
      <c r="B193" s="44"/>
      <c r="C193" s="45"/>
      <c r="D193" s="44"/>
    </row>
    <row r="194" customFormat="false" ht="15" hidden="false" customHeight="false" outlineLevel="0" collapsed="false">
      <c r="A194" s="45"/>
      <c r="B194" s="44"/>
      <c r="C194" s="45"/>
      <c r="D194" s="44"/>
    </row>
    <row r="195" customFormat="false" ht="15" hidden="false" customHeight="false" outlineLevel="0" collapsed="false">
      <c r="A195" s="45"/>
      <c r="B195" s="44"/>
      <c r="C195" s="45"/>
      <c r="D195" s="44"/>
    </row>
    <row r="196" customFormat="false" ht="15" hidden="false" customHeight="false" outlineLevel="0" collapsed="false">
      <c r="A196" s="45"/>
      <c r="B196" s="44"/>
      <c r="C196" s="45"/>
      <c r="D196" s="44"/>
    </row>
    <row r="197" customFormat="false" ht="15" hidden="false" customHeight="false" outlineLevel="0" collapsed="false">
      <c r="A197" s="45"/>
      <c r="B197" s="44"/>
      <c r="C197" s="45"/>
      <c r="D197" s="44"/>
    </row>
    <row r="198" customFormat="false" ht="15" hidden="false" customHeight="false" outlineLevel="0" collapsed="false">
      <c r="A198" s="45"/>
      <c r="B198" s="44"/>
      <c r="C198" s="45"/>
      <c r="D198" s="44"/>
    </row>
    <row r="199" customFormat="false" ht="15" hidden="false" customHeight="false" outlineLevel="0" collapsed="false">
      <c r="A199" s="45"/>
      <c r="B199" s="44"/>
      <c r="C199" s="45"/>
      <c r="D199" s="44"/>
    </row>
    <row r="200" customFormat="false" ht="15" hidden="false" customHeight="false" outlineLevel="0" collapsed="false">
      <c r="A200" s="45"/>
      <c r="B200" s="44"/>
      <c r="C200" s="45"/>
      <c r="D200" s="44"/>
    </row>
    <row r="201" customFormat="false" ht="15" hidden="false" customHeight="false" outlineLevel="0" collapsed="false">
      <c r="A201" s="45"/>
      <c r="B201" s="44"/>
      <c r="C201" s="45"/>
      <c r="D201" s="44"/>
    </row>
    <row r="202" customFormat="false" ht="15" hidden="false" customHeight="false" outlineLevel="0" collapsed="false">
      <c r="A202" s="45"/>
      <c r="B202" s="44"/>
      <c r="C202" s="45"/>
      <c r="D202" s="44"/>
    </row>
    <row r="203" customFormat="false" ht="15" hidden="false" customHeight="false" outlineLevel="0" collapsed="false">
      <c r="A203" s="45"/>
      <c r="B203" s="44"/>
      <c r="C203" s="45"/>
      <c r="D203" s="44"/>
    </row>
    <row r="204" customFormat="false" ht="15" hidden="false" customHeight="false" outlineLevel="0" collapsed="false">
      <c r="A204" s="45"/>
      <c r="B204" s="44"/>
      <c r="C204" s="45"/>
      <c r="D204" s="44"/>
    </row>
    <row r="205" customFormat="false" ht="15" hidden="false" customHeight="false" outlineLevel="0" collapsed="false">
      <c r="A205" s="45"/>
      <c r="B205" s="44"/>
      <c r="C205" s="45"/>
      <c r="D205" s="44"/>
    </row>
    <row r="206" customFormat="false" ht="15" hidden="false" customHeight="false" outlineLevel="0" collapsed="false">
      <c r="A206" s="45"/>
      <c r="B206" s="44"/>
      <c r="C206" s="45"/>
      <c r="D206" s="44"/>
    </row>
    <row r="207" customFormat="false" ht="15" hidden="false" customHeight="false" outlineLevel="0" collapsed="false">
      <c r="A207" s="45"/>
      <c r="B207" s="44"/>
      <c r="C207" s="45"/>
      <c r="D207" s="44"/>
    </row>
    <row r="208" customFormat="false" ht="15" hidden="false" customHeight="false" outlineLevel="0" collapsed="false">
      <c r="A208" s="45"/>
      <c r="B208" s="44"/>
      <c r="C208" s="45"/>
      <c r="D208" s="44"/>
    </row>
    <row r="209" customFormat="false" ht="15" hidden="false" customHeight="false" outlineLevel="0" collapsed="false">
      <c r="A209" s="45"/>
      <c r="B209" s="44"/>
      <c r="C209" s="45"/>
      <c r="D209" s="44"/>
    </row>
    <row r="210" customFormat="false" ht="15" hidden="false" customHeight="false" outlineLevel="0" collapsed="false">
      <c r="A210" s="45"/>
      <c r="B210" s="44"/>
      <c r="C210" s="45"/>
      <c r="D210" s="44"/>
    </row>
    <row r="211" customFormat="false" ht="15" hidden="false" customHeight="false" outlineLevel="0" collapsed="false">
      <c r="A211" s="45"/>
      <c r="B211" s="44"/>
      <c r="C211" s="45"/>
      <c r="D211" s="44"/>
    </row>
    <row r="212" customFormat="false" ht="15" hidden="false" customHeight="false" outlineLevel="0" collapsed="false">
      <c r="A212" s="45"/>
      <c r="B212" s="44"/>
      <c r="C212" s="45"/>
      <c r="D212" s="44"/>
    </row>
    <row r="213" customFormat="false" ht="15" hidden="false" customHeight="false" outlineLevel="0" collapsed="false">
      <c r="A213" s="45"/>
      <c r="B213" s="44"/>
      <c r="C213" s="45"/>
      <c r="D213" s="44"/>
    </row>
    <row r="214" customFormat="false" ht="15" hidden="false" customHeight="false" outlineLevel="0" collapsed="false">
      <c r="A214" s="45"/>
      <c r="B214" s="44"/>
      <c r="C214" s="45"/>
      <c r="D214" s="44"/>
    </row>
    <row r="215" customFormat="false" ht="15" hidden="false" customHeight="false" outlineLevel="0" collapsed="false">
      <c r="A215" s="45"/>
      <c r="B215" s="44"/>
      <c r="C215" s="45"/>
      <c r="D215" s="44"/>
    </row>
    <row r="216" customFormat="false" ht="15" hidden="false" customHeight="false" outlineLevel="0" collapsed="false">
      <c r="A216" s="45"/>
      <c r="B216" s="44"/>
      <c r="C216" s="45"/>
      <c r="D216" s="44"/>
    </row>
    <row r="217" customFormat="false" ht="15" hidden="false" customHeight="false" outlineLevel="0" collapsed="false">
      <c r="A217" s="45"/>
      <c r="B217" s="44"/>
      <c r="C217" s="45"/>
      <c r="D217" s="44"/>
    </row>
    <row r="218" customFormat="false" ht="15" hidden="false" customHeight="false" outlineLevel="0" collapsed="false">
      <c r="A218" s="45"/>
      <c r="B218" s="44"/>
      <c r="C218" s="45"/>
      <c r="D218" s="44"/>
    </row>
    <row r="219" customFormat="false" ht="15" hidden="false" customHeight="false" outlineLevel="0" collapsed="false">
      <c r="A219" s="45"/>
      <c r="B219" s="44"/>
      <c r="C219" s="45"/>
      <c r="D219" s="44"/>
    </row>
    <row r="220" customFormat="false" ht="15" hidden="false" customHeight="false" outlineLevel="0" collapsed="false">
      <c r="A220" s="45"/>
      <c r="B220" s="44"/>
      <c r="C220" s="45"/>
      <c r="D220" s="44"/>
    </row>
    <row r="221" customFormat="false" ht="15" hidden="false" customHeight="false" outlineLevel="0" collapsed="false">
      <c r="A221" s="45"/>
      <c r="B221" s="44"/>
      <c r="C221" s="45"/>
      <c r="D221" s="44"/>
    </row>
    <row r="222" customFormat="false" ht="15" hidden="false" customHeight="false" outlineLevel="0" collapsed="false">
      <c r="A222" s="45"/>
      <c r="B222" s="44"/>
      <c r="C222" s="45"/>
      <c r="D222" s="44"/>
    </row>
    <row r="223" customFormat="false" ht="15" hidden="false" customHeight="false" outlineLevel="0" collapsed="false">
      <c r="A223" s="45"/>
      <c r="B223" s="44"/>
      <c r="C223" s="45"/>
      <c r="D223" s="44"/>
    </row>
    <row r="224" customFormat="false" ht="15" hidden="false" customHeight="false" outlineLevel="0" collapsed="false">
      <c r="A224" s="45"/>
      <c r="B224" s="44"/>
      <c r="C224" s="45"/>
      <c r="D224" s="44"/>
    </row>
    <row r="225" customFormat="false" ht="15" hidden="false" customHeight="false" outlineLevel="0" collapsed="false">
      <c r="A225" s="45"/>
      <c r="B225" s="44"/>
      <c r="C225" s="45"/>
      <c r="D225" s="44"/>
    </row>
    <row r="226" customFormat="false" ht="15" hidden="false" customHeight="false" outlineLevel="0" collapsed="false">
      <c r="A226" s="45"/>
      <c r="B226" s="44"/>
      <c r="C226" s="45"/>
      <c r="D226" s="44"/>
    </row>
    <row r="227" customFormat="false" ht="15" hidden="false" customHeight="false" outlineLevel="0" collapsed="false">
      <c r="A227" s="45"/>
      <c r="B227" s="44"/>
      <c r="C227" s="45"/>
      <c r="D227" s="44"/>
    </row>
    <row r="228" customFormat="false" ht="15" hidden="false" customHeight="false" outlineLevel="0" collapsed="false">
      <c r="A228" s="45"/>
      <c r="B228" s="44"/>
      <c r="C228" s="45"/>
      <c r="D228" s="44"/>
    </row>
    <row r="229" customFormat="false" ht="15" hidden="false" customHeight="false" outlineLevel="0" collapsed="false">
      <c r="A229" s="45"/>
      <c r="B229" s="44"/>
      <c r="C229" s="45"/>
      <c r="D229" s="44"/>
    </row>
    <row r="230" customFormat="false" ht="15" hidden="false" customHeight="false" outlineLevel="0" collapsed="false">
      <c r="A230" s="45"/>
      <c r="B230" s="44"/>
      <c r="C230" s="45"/>
      <c r="D230" s="44"/>
    </row>
    <row r="231" customFormat="false" ht="15" hidden="false" customHeight="false" outlineLevel="0" collapsed="false">
      <c r="A231" s="45"/>
      <c r="B231" s="44"/>
      <c r="C231" s="45"/>
      <c r="D231" s="44"/>
    </row>
    <row r="232" customFormat="false" ht="15" hidden="false" customHeight="false" outlineLevel="0" collapsed="false">
      <c r="A232" s="45"/>
      <c r="B232" s="44"/>
      <c r="C232" s="45"/>
      <c r="D232" s="44"/>
    </row>
    <row r="233" customFormat="false" ht="15" hidden="false" customHeight="false" outlineLevel="0" collapsed="false">
      <c r="A233" s="45"/>
      <c r="B233" s="44"/>
      <c r="C233" s="45"/>
      <c r="D233" s="44"/>
    </row>
    <row r="234" customFormat="false" ht="15" hidden="false" customHeight="false" outlineLevel="0" collapsed="false">
      <c r="A234" s="45"/>
      <c r="B234" s="44"/>
      <c r="C234" s="45"/>
      <c r="D234" s="44"/>
    </row>
    <row r="235" customFormat="false" ht="15" hidden="false" customHeight="false" outlineLevel="0" collapsed="false">
      <c r="A235" s="45"/>
      <c r="B235" s="44"/>
      <c r="C235" s="45"/>
      <c r="D235" s="44"/>
    </row>
    <row r="236" customFormat="false" ht="15" hidden="false" customHeight="false" outlineLevel="0" collapsed="false">
      <c r="A236" s="45"/>
      <c r="B236" s="44"/>
      <c r="C236" s="45"/>
      <c r="D236" s="44"/>
    </row>
    <row r="237" customFormat="false" ht="15" hidden="false" customHeight="false" outlineLevel="0" collapsed="false">
      <c r="A237" s="45"/>
      <c r="B237" s="44"/>
      <c r="C237" s="45"/>
      <c r="D237" s="44"/>
    </row>
    <row r="238" customFormat="false" ht="15" hidden="false" customHeight="false" outlineLevel="0" collapsed="false">
      <c r="A238" s="45"/>
      <c r="B238" s="44"/>
      <c r="C238" s="45"/>
      <c r="D238" s="44"/>
    </row>
    <row r="239" customFormat="false" ht="15" hidden="false" customHeight="false" outlineLevel="0" collapsed="false">
      <c r="A239" s="45"/>
      <c r="B239" s="44"/>
      <c r="C239" s="45"/>
      <c r="D239" s="44"/>
    </row>
    <row r="240" customFormat="false" ht="15" hidden="false" customHeight="false" outlineLevel="0" collapsed="false">
      <c r="A240" s="45"/>
      <c r="B240" s="44"/>
      <c r="C240" s="45"/>
      <c r="D240" s="44"/>
    </row>
    <row r="241" customFormat="false" ht="15" hidden="false" customHeight="false" outlineLevel="0" collapsed="false">
      <c r="A241" s="45"/>
      <c r="B241" s="44"/>
      <c r="C241" s="45"/>
      <c r="D241" s="44"/>
    </row>
    <row r="242" customFormat="false" ht="15" hidden="false" customHeight="false" outlineLevel="0" collapsed="false">
      <c r="A242" s="45"/>
      <c r="B242" s="44"/>
      <c r="C242" s="45"/>
      <c r="D242" s="44"/>
    </row>
    <row r="243" customFormat="false" ht="15" hidden="false" customHeight="false" outlineLevel="0" collapsed="false">
      <c r="A243" s="45"/>
      <c r="B243" s="44"/>
      <c r="C243" s="45"/>
      <c r="D243" s="44"/>
    </row>
    <row r="244" customFormat="false" ht="15" hidden="false" customHeight="false" outlineLevel="0" collapsed="false">
      <c r="A244" s="45"/>
      <c r="B244" s="44"/>
      <c r="C244" s="45"/>
      <c r="D244" s="44"/>
    </row>
    <row r="245" customFormat="false" ht="15" hidden="false" customHeight="false" outlineLevel="0" collapsed="false">
      <c r="A245" s="45"/>
      <c r="B245" s="44"/>
      <c r="C245" s="45"/>
      <c r="D245" s="44"/>
    </row>
    <row r="246" customFormat="false" ht="15" hidden="false" customHeight="false" outlineLevel="0" collapsed="false">
      <c r="A246" s="45"/>
      <c r="B246" s="44"/>
      <c r="C246" s="45"/>
      <c r="D246" s="44"/>
    </row>
    <row r="247" customFormat="false" ht="15" hidden="false" customHeight="false" outlineLevel="0" collapsed="false">
      <c r="A247" s="45"/>
      <c r="B247" s="44"/>
      <c r="C247" s="45"/>
      <c r="D247" s="44"/>
    </row>
    <row r="248" customFormat="false" ht="15" hidden="false" customHeight="false" outlineLevel="0" collapsed="false">
      <c r="A248" s="45"/>
      <c r="B248" s="44"/>
      <c r="C248" s="45"/>
      <c r="D248" s="44"/>
    </row>
    <row r="249" customFormat="false" ht="15" hidden="false" customHeight="false" outlineLevel="0" collapsed="false">
      <c r="A249" s="45"/>
      <c r="B249" s="44"/>
      <c r="C249" s="45"/>
      <c r="D249" s="44"/>
    </row>
    <row r="250" customFormat="false" ht="15" hidden="false" customHeight="false" outlineLevel="0" collapsed="false">
      <c r="A250" s="45"/>
      <c r="B250" s="44"/>
      <c r="C250" s="45"/>
      <c r="D250" s="44"/>
    </row>
    <row r="251" customFormat="false" ht="15" hidden="false" customHeight="false" outlineLevel="0" collapsed="false">
      <c r="A251" s="45"/>
      <c r="B251" s="44"/>
      <c r="C251" s="45"/>
      <c r="D251" s="44"/>
    </row>
    <row r="252" customFormat="false" ht="15" hidden="false" customHeight="false" outlineLevel="0" collapsed="false">
      <c r="A252" s="45"/>
      <c r="B252" s="44"/>
      <c r="C252" s="45"/>
      <c r="D252" s="44"/>
    </row>
    <row r="253" customFormat="false" ht="15" hidden="false" customHeight="false" outlineLevel="0" collapsed="false">
      <c r="A253" s="45"/>
      <c r="B253" s="44"/>
      <c r="C253" s="45"/>
      <c r="D253" s="44"/>
    </row>
    <row r="254" customFormat="false" ht="15" hidden="false" customHeight="false" outlineLevel="0" collapsed="false">
      <c r="A254" s="45"/>
      <c r="B254" s="44"/>
      <c r="C254" s="45"/>
      <c r="D254" s="44"/>
    </row>
    <row r="255" customFormat="false" ht="15" hidden="false" customHeight="false" outlineLevel="0" collapsed="false">
      <c r="A255" s="45"/>
      <c r="B255" s="44"/>
      <c r="C255" s="45"/>
      <c r="D255" s="44"/>
    </row>
    <row r="256" customFormat="false" ht="15" hidden="false" customHeight="false" outlineLevel="0" collapsed="false">
      <c r="A256" s="45"/>
      <c r="B256" s="44"/>
      <c r="C256" s="45"/>
      <c r="D256" s="44"/>
    </row>
    <row r="257" customFormat="false" ht="15" hidden="false" customHeight="false" outlineLevel="0" collapsed="false">
      <c r="A257" s="45"/>
      <c r="B257" s="44"/>
      <c r="C257" s="45"/>
      <c r="D257" s="44"/>
    </row>
    <row r="258" customFormat="false" ht="15" hidden="false" customHeight="false" outlineLevel="0" collapsed="false">
      <c r="A258" s="45"/>
      <c r="B258" s="44"/>
      <c r="C258" s="45"/>
      <c r="D258" s="44"/>
    </row>
    <row r="259" customFormat="false" ht="15" hidden="false" customHeight="false" outlineLevel="0" collapsed="false">
      <c r="A259" s="45"/>
      <c r="B259" s="44"/>
      <c r="C259" s="45"/>
      <c r="D259" s="44"/>
    </row>
    <row r="260" customFormat="false" ht="15" hidden="false" customHeight="false" outlineLevel="0" collapsed="false">
      <c r="A260" s="45"/>
      <c r="B260" s="44"/>
      <c r="C260" s="45"/>
      <c r="D260" s="44"/>
    </row>
    <row r="261" customFormat="false" ht="15" hidden="false" customHeight="false" outlineLevel="0" collapsed="false">
      <c r="A261" s="45"/>
      <c r="B261" s="44"/>
      <c r="C261" s="45"/>
      <c r="D261" s="44"/>
    </row>
    <row r="262" customFormat="false" ht="15" hidden="false" customHeight="false" outlineLevel="0" collapsed="false">
      <c r="A262" s="45"/>
      <c r="B262" s="44"/>
      <c r="C262" s="45"/>
      <c r="D262" s="44"/>
    </row>
    <row r="263" customFormat="false" ht="15" hidden="false" customHeight="false" outlineLevel="0" collapsed="false">
      <c r="A263" s="45"/>
      <c r="B263" s="44"/>
      <c r="C263" s="45"/>
      <c r="D263" s="44"/>
    </row>
    <row r="264" customFormat="false" ht="15" hidden="false" customHeight="false" outlineLevel="0" collapsed="false">
      <c r="A264" s="45"/>
      <c r="B264" s="44"/>
      <c r="C264" s="45"/>
      <c r="D264" s="44"/>
    </row>
    <row r="265" customFormat="false" ht="15" hidden="false" customHeight="false" outlineLevel="0" collapsed="false">
      <c r="A265" s="45"/>
      <c r="B265" s="44"/>
      <c r="C265" s="45"/>
      <c r="D265" s="44"/>
    </row>
    <row r="266" customFormat="false" ht="15" hidden="false" customHeight="false" outlineLevel="0" collapsed="false">
      <c r="A266" s="45"/>
      <c r="B266" s="44"/>
      <c r="C266" s="45"/>
      <c r="D266" s="44"/>
    </row>
    <row r="267" customFormat="false" ht="15" hidden="false" customHeight="false" outlineLevel="0" collapsed="false">
      <c r="A267" s="45"/>
      <c r="B267" s="44"/>
      <c r="C267" s="45"/>
      <c r="D267" s="44"/>
    </row>
    <row r="268" customFormat="false" ht="15" hidden="false" customHeight="false" outlineLevel="0" collapsed="false">
      <c r="A268" s="45"/>
      <c r="B268" s="44"/>
      <c r="C268" s="45"/>
      <c r="D268" s="44"/>
    </row>
    <row r="269" customFormat="false" ht="15" hidden="false" customHeight="false" outlineLevel="0" collapsed="false">
      <c r="A269" s="45"/>
      <c r="B269" s="44"/>
      <c r="C269" s="45"/>
      <c r="D269" s="44"/>
    </row>
    <row r="270" customFormat="false" ht="15" hidden="false" customHeight="false" outlineLevel="0" collapsed="false">
      <c r="A270" s="45"/>
      <c r="B270" s="44"/>
      <c r="C270" s="45"/>
      <c r="D270" s="44"/>
    </row>
    <row r="271" customFormat="false" ht="15" hidden="false" customHeight="false" outlineLevel="0" collapsed="false">
      <c r="A271" s="45"/>
      <c r="B271" s="44"/>
      <c r="C271" s="45"/>
      <c r="D271" s="44"/>
    </row>
    <row r="272" customFormat="false" ht="15" hidden="false" customHeight="false" outlineLevel="0" collapsed="false">
      <c r="A272" s="45"/>
      <c r="B272" s="44"/>
      <c r="C272" s="45"/>
      <c r="D272" s="44"/>
    </row>
    <row r="273" customFormat="false" ht="15" hidden="false" customHeight="false" outlineLevel="0" collapsed="false">
      <c r="A273" s="45"/>
      <c r="B273" s="44"/>
      <c r="C273" s="45"/>
      <c r="D273" s="44"/>
    </row>
    <row r="274" customFormat="false" ht="15" hidden="false" customHeight="false" outlineLevel="0" collapsed="false">
      <c r="A274" s="45"/>
      <c r="B274" s="44"/>
      <c r="C274" s="45"/>
      <c r="D274" s="44"/>
    </row>
    <row r="275" customFormat="false" ht="15" hidden="false" customHeight="false" outlineLevel="0" collapsed="false">
      <c r="A275" s="45"/>
      <c r="B275" s="44"/>
      <c r="C275" s="45"/>
      <c r="D275" s="44"/>
    </row>
    <row r="276" customFormat="false" ht="15" hidden="false" customHeight="false" outlineLevel="0" collapsed="false">
      <c r="A276" s="45"/>
      <c r="B276" s="44"/>
      <c r="C276" s="45"/>
      <c r="D276" s="44"/>
    </row>
    <row r="277" customFormat="false" ht="15" hidden="false" customHeight="false" outlineLevel="0" collapsed="false">
      <c r="A277" s="45"/>
      <c r="B277" s="44"/>
      <c r="C277" s="45"/>
      <c r="D277" s="44"/>
    </row>
    <row r="278" customFormat="false" ht="15" hidden="false" customHeight="false" outlineLevel="0" collapsed="false">
      <c r="A278" s="45"/>
      <c r="B278" s="44"/>
      <c r="C278" s="45"/>
      <c r="D278" s="44"/>
    </row>
    <row r="279" customFormat="false" ht="15" hidden="false" customHeight="false" outlineLevel="0" collapsed="false">
      <c r="A279" s="45"/>
      <c r="B279" s="44"/>
      <c r="C279" s="45"/>
      <c r="D279" s="44"/>
    </row>
    <row r="280" customFormat="false" ht="15" hidden="false" customHeight="false" outlineLevel="0" collapsed="false">
      <c r="A280" s="45"/>
      <c r="B280" s="44"/>
      <c r="C280" s="45"/>
      <c r="D280" s="44"/>
    </row>
    <row r="281" customFormat="false" ht="15" hidden="false" customHeight="false" outlineLevel="0" collapsed="false">
      <c r="A281" s="45"/>
      <c r="B281" s="44"/>
      <c r="C281" s="45"/>
      <c r="D281" s="44"/>
    </row>
    <row r="282" customFormat="false" ht="15" hidden="false" customHeight="false" outlineLevel="0" collapsed="false">
      <c r="A282" s="45"/>
      <c r="B282" s="44"/>
      <c r="C282" s="45"/>
      <c r="D282" s="44"/>
    </row>
    <row r="283" customFormat="false" ht="15" hidden="false" customHeight="false" outlineLevel="0" collapsed="false">
      <c r="A283" s="45"/>
      <c r="B283" s="44"/>
      <c r="C283" s="45"/>
      <c r="D283" s="44"/>
    </row>
    <row r="284" customFormat="false" ht="15" hidden="false" customHeight="false" outlineLevel="0" collapsed="false">
      <c r="A284" s="45"/>
      <c r="B284" s="44"/>
      <c r="C284" s="45"/>
      <c r="D284" s="44"/>
    </row>
    <row r="285" customFormat="false" ht="15" hidden="false" customHeight="false" outlineLevel="0" collapsed="false">
      <c r="A285" s="45"/>
      <c r="B285" s="44"/>
      <c r="C285" s="45"/>
      <c r="D285" s="44"/>
    </row>
    <row r="286" customFormat="false" ht="15" hidden="false" customHeight="false" outlineLevel="0" collapsed="false">
      <c r="A286" s="45"/>
      <c r="B286" s="44"/>
      <c r="C286" s="45"/>
      <c r="D286" s="44"/>
    </row>
    <row r="287" customFormat="false" ht="15" hidden="false" customHeight="false" outlineLevel="0" collapsed="false">
      <c r="A287" s="45"/>
      <c r="B287" s="44"/>
      <c r="C287" s="45"/>
      <c r="D287" s="44"/>
    </row>
    <row r="288" customFormat="false" ht="15" hidden="false" customHeight="false" outlineLevel="0" collapsed="false">
      <c r="A288" s="45"/>
      <c r="B288" s="44"/>
      <c r="C288" s="45"/>
      <c r="D288" s="44"/>
    </row>
    <row r="289" customFormat="false" ht="15" hidden="false" customHeight="false" outlineLevel="0" collapsed="false">
      <c r="A289" s="45"/>
      <c r="B289" s="44"/>
      <c r="C289" s="45"/>
      <c r="D289" s="44"/>
    </row>
    <row r="290" customFormat="false" ht="15" hidden="false" customHeight="false" outlineLevel="0" collapsed="false">
      <c r="A290" s="45"/>
      <c r="B290" s="44"/>
      <c r="C290" s="45"/>
      <c r="D290" s="44"/>
    </row>
    <row r="291" customFormat="false" ht="15" hidden="false" customHeight="false" outlineLevel="0" collapsed="false">
      <c r="A291" s="45"/>
      <c r="B291" s="44"/>
      <c r="C291" s="45"/>
      <c r="D291" s="44"/>
    </row>
    <row r="292" customFormat="false" ht="15" hidden="false" customHeight="false" outlineLevel="0" collapsed="false">
      <c r="A292" s="45"/>
      <c r="B292" s="44"/>
      <c r="C292" s="45"/>
      <c r="D292" s="44"/>
    </row>
    <row r="293" customFormat="false" ht="15" hidden="false" customHeight="false" outlineLevel="0" collapsed="false">
      <c r="A293" s="45"/>
      <c r="B293" s="44"/>
      <c r="C293" s="45"/>
      <c r="D293" s="44"/>
    </row>
    <row r="294" customFormat="false" ht="15" hidden="false" customHeight="false" outlineLevel="0" collapsed="false">
      <c r="A294" s="45"/>
      <c r="B294" s="44"/>
      <c r="C294" s="45"/>
      <c r="D294" s="44"/>
    </row>
    <row r="295" customFormat="false" ht="15" hidden="false" customHeight="false" outlineLevel="0" collapsed="false">
      <c r="A295" s="45"/>
      <c r="B295" s="44"/>
      <c r="C295" s="45"/>
      <c r="D295" s="44"/>
    </row>
    <row r="296" customFormat="false" ht="15" hidden="false" customHeight="false" outlineLevel="0" collapsed="false">
      <c r="A296" s="45"/>
      <c r="B296" s="44"/>
      <c r="C296" s="45"/>
      <c r="D296" s="44"/>
    </row>
    <row r="297" customFormat="false" ht="15" hidden="false" customHeight="false" outlineLevel="0" collapsed="false">
      <c r="A297" s="45"/>
      <c r="B297" s="44"/>
      <c r="C297" s="45"/>
      <c r="D297" s="44"/>
    </row>
    <row r="298" customFormat="false" ht="15" hidden="false" customHeight="false" outlineLevel="0" collapsed="false">
      <c r="A298" s="45"/>
      <c r="B298" s="44"/>
      <c r="C298" s="45"/>
      <c r="D298" s="44"/>
    </row>
    <row r="299" customFormat="false" ht="15" hidden="false" customHeight="false" outlineLevel="0" collapsed="false">
      <c r="A299" s="45"/>
      <c r="B299" s="44"/>
      <c r="C299" s="45"/>
      <c r="D299" s="44"/>
    </row>
    <row r="300" customFormat="false" ht="15" hidden="false" customHeight="false" outlineLevel="0" collapsed="false">
      <c r="A300" s="45"/>
      <c r="B300" s="44"/>
      <c r="C300" s="45"/>
      <c r="D300" s="44"/>
    </row>
    <row r="301" customFormat="false" ht="15" hidden="false" customHeight="false" outlineLevel="0" collapsed="false">
      <c r="A301" s="45"/>
      <c r="B301" s="44"/>
      <c r="C301" s="45"/>
      <c r="D301" s="44"/>
    </row>
    <row r="302" customFormat="false" ht="15" hidden="false" customHeight="false" outlineLevel="0" collapsed="false">
      <c r="A302" s="45"/>
      <c r="B302" s="44"/>
      <c r="C302" s="45"/>
      <c r="D302" s="44"/>
    </row>
    <row r="303" customFormat="false" ht="15" hidden="false" customHeight="false" outlineLevel="0" collapsed="false">
      <c r="A303" s="45"/>
      <c r="B303" s="44"/>
      <c r="C303" s="45"/>
      <c r="D303" s="44"/>
    </row>
    <row r="304" customFormat="false" ht="15" hidden="false" customHeight="false" outlineLevel="0" collapsed="false">
      <c r="A304" s="45"/>
      <c r="B304" s="44"/>
      <c r="C304" s="45"/>
      <c r="D304" s="44"/>
    </row>
    <row r="305" customFormat="false" ht="15" hidden="false" customHeight="false" outlineLevel="0" collapsed="false">
      <c r="A305" s="45"/>
      <c r="B305" s="44"/>
      <c r="C305" s="45"/>
      <c r="D305" s="44"/>
    </row>
    <row r="306" customFormat="false" ht="15" hidden="false" customHeight="false" outlineLevel="0" collapsed="false">
      <c r="A306" s="45"/>
      <c r="B306" s="44"/>
      <c r="C306" s="45"/>
      <c r="D306" s="44"/>
    </row>
    <row r="307" customFormat="false" ht="15" hidden="false" customHeight="false" outlineLevel="0" collapsed="false">
      <c r="A307" s="45"/>
      <c r="B307" s="44"/>
      <c r="C307" s="45"/>
      <c r="D307" s="44"/>
    </row>
    <row r="308" customFormat="false" ht="15" hidden="false" customHeight="false" outlineLevel="0" collapsed="false">
      <c r="A308" s="45"/>
      <c r="B308" s="44"/>
      <c r="C308" s="45"/>
      <c r="D308" s="44"/>
    </row>
    <row r="309" customFormat="false" ht="15" hidden="false" customHeight="false" outlineLevel="0" collapsed="false">
      <c r="A309" s="45"/>
      <c r="B309" s="44"/>
      <c r="C309" s="45"/>
      <c r="D309" s="44"/>
    </row>
    <row r="310" customFormat="false" ht="15" hidden="false" customHeight="false" outlineLevel="0" collapsed="false">
      <c r="A310" s="45"/>
      <c r="B310" s="44"/>
      <c r="C310" s="45"/>
      <c r="D310" s="44"/>
    </row>
    <row r="311" customFormat="false" ht="15" hidden="false" customHeight="false" outlineLevel="0" collapsed="false">
      <c r="A311" s="45"/>
      <c r="B311" s="44"/>
      <c r="C311" s="45"/>
      <c r="D311" s="44"/>
    </row>
    <row r="312" customFormat="false" ht="15" hidden="false" customHeight="false" outlineLevel="0" collapsed="false">
      <c r="A312" s="45"/>
      <c r="B312" s="44"/>
      <c r="C312" s="45"/>
      <c r="D312" s="44"/>
    </row>
    <row r="313" customFormat="false" ht="15" hidden="false" customHeight="false" outlineLevel="0" collapsed="false">
      <c r="A313" s="45"/>
      <c r="B313" s="44"/>
      <c r="C313" s="45"/>
      <c r="D313" s="44"/>
    </row>
    <row r="314" customFormat="false" ht="15" hidden="false" customHeight="false" outlineLevel="0" collapsed="false">
      <c r="A314" s="45"/>
      <c r="B314" s="44"/>
      <c r="C314" s="45"/>
      <c r="D314" s="44"/>
    </row>
    <row r="315" customFormat="false" ht="15" hidden="false" customHeight="false" outlineLevel="0" collapsed="false">
      <c r="A315" s="45"/>
      <c r="B315" s="44"/>
      <c r="C315" s="45"/>
      <c r="D315" s="44"/>
    </row>
    <row r="316" customFormat="false" ht="15" hidden="false" customHeight="false" outlineLevel="0" collapsed="false">
      <c r="A316" s="45"/>
      <c r="B316" s="44"/>
      <c r="C316" s="45"/>
      <c r="D316" s="44"/>
    </row>
    <row r="317" customFormat="false" ht="15" hidden="false" customHeight="false" outlineLevel="0" collapsed="false">
      <c r="A317" s="45"/>
      <c r="B317" s="44"/>
      <c r="C317" s="45"/>
      <c r="D317" s="44"/>
    </row>
    <row r="318" customFormat="false" ht="15" hidden="false" customHeight="false" outlineLevel="0" collapsed="false">
      <c r="A318" s="45"/>
      <c r="B318" s="44"/>
      <c r="C318" s="45"/>
      <c r="D318" s="44"/>
    </row>
    <row r="319" customFormat="false" ht="15" hidden="false" customHeight="false" outlineLevel="0" collapsed="false">
      <c r="A319" s="45"/>
      <c r="B319" s="44"/>
      <c r="C319" s="45"/>
      <c r="D319" s="44"/>
    </row>
    <row r="320" customFormat="false" ht="15" hidden="false" customHeight="false" outlineLevel="0" collapsed="false">
      <c r="A320" s="45"/>
      <c r="B320" s="44"/>
      <c r="C320" s="45"/>
      <c r="D320" s="44"/>
    </row>
    <row r="321" customFormat="false" ht="15" hidden="false" customHeight="false" outlineLevel="0" collapsed="false">
      <c r="A321" s="45"/>
      <c r="B321" s="44"/>
      <c r="C321" s="45"/>
      <c r="D321" s="44"/>
    </row>
    <row r="322" customFormat="false" ht="15" hidden="false" customHeight="false" outlineLevel="0" collapsed="false">
      <c r="A322" s="45"/>
      <c r="B322" s="44"/>
      <c r="C322" s="45"/>
      <c r="D322" s="44"/>
    </row>
    <row r="323" customFormat="false" ht="15" hidden="false" customHeight="false" outlineLevel="0" collapsed="false">
      <c r="A323" s="45"/>
      <c r="B323" s="44"/>
      <c r="C323" s="45"/>
      <c r="D323" s="44"/>
    </row>
    <row r="324" customFormat="false" ht="15" hidden="false" customHeight="false" outlineLevel="0" collapsed="false">
      <c r="A324" s="45"/>
      <c r="B324" s="44"/>
      <c r="C324" s="45"/>
      <c r="D324" s="44"/>
    </row>
    <row r="325" customFormat="false" ht="15" hidden="false" customHeight="false" outlineLevel="0" collapsed="false">
      <c r="A325" s="45"/>
      <c r="B325" s="44"/>
      <c r="C325" s="45"/>
      <c r="D325" s="44"/>
    </row>
    <row r="326" customFormat="false" ht="15" hidden="false" customHeight="false" outlineLevel="0" collapsed="false">
      <c r="A326" s="45"/>
      <c r="B326" s="44"/>
      <c r="C326" s="45"/>
      <c r="D326" s="44"/>
    </row>
    <row r="327" customFormat="false" ht="15" hidden="false" customHeight="false" outlineLevel="0" collapsed="false">
      <c r="A327" s="45"/>
      <c r="B327" s="44"/>
      <c r="C327" s="45"/>
      <c r="D327" s="44"/>
    </row>
    <row r="328" customFormat="false" ht="15" hidden="false" customHeight="false" outlineLevel="0" collapsed="false">
      <c r="A328" s="45"/>
      <c r="B328" s="44"/>
      <c r="C328" s="45"/>
      <c r="D328" s="44"/>
    </row>
    <row r="329" customFormat="false" ht="15" hidden="false" customHeight="false" outlineLevel="0" collapsed="false">
      <c r="A329" s="45"/>
      <c r="B329" s="44"/>
      <c r="C329" s="45"/>
      <c r="D329" s="44"/>
    </row>
    <row r="330" customFormat="false" ht="15" hidden="false" customHeight="false" outlineLevel="0" collapsed="false">
      <c r="A330" s="45"/>
      <c r="B330" s="44"/>
      <c r="C330" s="45"/>
      <c r="D330" s="44"/>
    </row>
    <row r="331" customFormat="false" ht="15" hidden="false" customHeight="false" outlineLevel="0" collapsed="false">
      <c r="A331" s="45"/>
      <c r="B331" s="44"/>
      <c r="C331" s="45"/>
      <c r="D331" s="44"/>
    </row>
    <row r="332" customFormat="false" ht="15" hidden="false" customHeight="false" outlineLevel="0" collapsed="false">
      <c r="A332" s="45"/>
      <c r="B332" s="44"/>
      <c r="C332" s="45"/>
      <c r="D332" s="44"/>
    </row>
    <row r="333" customFormat="false" ht="15" hidden="false" customHeight="false" outlineLevel="0" collapsed="false">
      <c r="A333" s="45"/>
      <c r="B333" s="44"/>
      <c r="C333" s="45"/>
      <c r="D333" s="44"/>
    </row>
    <row r="334" customFormat="false" ht="15" hidden="false" customHeight="false" outlineLevel="0" collapsed="false">
      <c r="A334" s="45"/>
      <c r="B334" s="44"/>
      <c r="C334" s="45"/>
      <c r="D334" s="44"/>
    </row>
    <row r="335" customFormat="false" ht="15" hidden="false" customHeight="false" outlineLevel="0" collapsed="false">
      <c r="A335" s="45"/>
      <c r="B335" s="44"/>
      <c r="C335" s="45"/>
      <c r="D335" s="44"/>
    </row>
    <row r="336" customFormat="false" ht="15" hidden="false" customHeight="false" outlineLevel="0" collapsed="false">
      <c r="A336" s="45"/>
      <c r="B336" s="44"/>
      <c r="C336" s="45"/>
      <c r="D336" s="44"/>
    </row>
    <row r="337" customFormat="false" ht="15" hidden="false" customHeight="false" outlineLevel="0" collapsed="false">
      <c r="A337" s="45"/>
      <c r="B337" s="44"/>
      <c r="C337" s="45"/>
      <c r="D337" s="44"/>
    </row>
    <row r="338" customFormat="false" ht="15" hidden="false" customHeight="false" outlineLevel="0" collapsed="false">
      <c r="A338" s="45"/>
      <c r="B338" s="44"/>
      <c r="C338" s="45"/>
      <c r="D338" s="44"/>
    </row>
    <row r="339" customFormat="false" ht="15" hidden="false" customHeight="false" outlineLevel="0" collapsed="false">
      <c r="A339" s="45"/>
      <c r="B339" s="44"/>
      <c r="C339" s="45"/>
      <c r="D339" s="44"/>
    </row>
    <row r="340" customFormat="false" ht="15" hidden="false" customHeight="false" outlineLevel="0" collapsed="false">
      <c r="A340" s="45"/>
      <c r="B340" s="44"/>
      <c r="C340" s="45"/>
      <c r="D340" s="44"/>
    </row>
    <row r="341" customFormat="false" ht="15" hidden="false" customHeight="false" outlineLevel="0" collapsed="false">
      <c r="A341" s="45"/>
      <c r="B341" s="44"/>
      <c r="C341" s="45"/>
      <c r="D341" s="44"/>
    </row>
    <row r="342" customFormat="false" ht="15" hidden="false" customHeight="false" outlineLevel="0" collapsed="false">
      <c r="A342" s="45"/>
      <c r="B342" s="44"/>
      <c r="C342" s="45"/>
      <c r="D342" s="44"/>
    </row>
    <row r="343" customFormat="false" ht="15" hidden="false" customHeight="false" outlineLevel="0" collapsed="false">
      <c r="A343" s="45"/>
      <c r="B343" s="44"/>
      <c r="C343" s="45"/>
      <c r="D343" s="44"/>
    </row>
    <row r="344" customFormat="false" ht="15" hidden="false" customHeight="false" outlineLevel="0" collapsed="false">
      <c r="A344" s="45"/>
      <c r="B344" s="44"/>
      <c r="C344" s="45"/>
      <c r="D344" s="44"/>
    </row>
    <row r="345" customFormat="false" ht="15" hidden="false" customHeight="false" outlineLevel="0" collapsed="false">
      <c r="A345" s="45"/>
      <c r="B345" s="44"/>
      <c r="C345" s="45"/>
      <c r="D345" s="44"/>
    </row>
    <row r="346" customFormat="false" ht="15" hidden="false" customHeight="false" outlineLevel="0" collapsed="false">
      <c r="A346" s="45"/>
      <c r="B346" s="44"/>
      <c r="C346" s="45"/>
      <c r="D346" s="44"/>
    </row>
    <row r="347" customFormat="false" ht="15" hidden="false" customHeight="false" outlineLevel="0" collapsed="false">
      <c r="A347" s="45"/>
      <c r="B347" s="44"/>
      <c r="C347" s="45"/>
      <c r="D347" s="44"/>
    </row>
    <row r="348" customFormat="false" ht="15" hidden="false" customHeight="false" outlineLevel="0" collapsed="false">
      <c r="A348" s="45"/>
      <c r="B348" s="44"/>
      <c r="C348" s="45"/>
      <c r="D348" s="44"/>
    </row>
    <row r="349" customFormat="false" ht="15" hidden="false" customHeight="false" outlineLevel="0" collapsed="false">
      <c r="A349" s="45"/>
      <c r="B349" s="44"/>
      <c r="C349" s="45"/>
      <c r="D349" s="44"/>
    </row>
    <row r="350" customFormat="false" ht="15" hidden="false" customHeight="false" outlineLevel="0" collapsed="false">
      <c r="A350" s="45"/>
      <c r="B350" s="44"/>
      <c r="C350" s="45"/>
      <c r="D350" s="44"/>
    </row>
    <row r="351" customFormat="false" ht="15" hidden="false" customHeight="false" outlineLevel="0" collapsed="false">
      <c r="A351" s="45"/>
      <c r="B351" s="44"/>
      <c r="C351" s="45"/>
      <c r="D351" s="44"/>
    </row>
    <row r="352" customFormat="false" ht="15" hidden="false" customHeight="false" outlineLevel="0" collapsed="false">
      <c r="A352" s="45"/>
      <c r="B352" s="44"/>
      <c r="C352" s="45"/>
      <c r="D352" s="44"/>
    </row>
    <row r="353" customFormat="false" ht="15" hidden="false" customHeight="false" outlineLevel="0" collapsed="false">
      <c r="A353" s="45"/>
      <c r="B353" s="44"/>
      <c r="C353" s="45"/>
      <c r="D353" s="44"/>
    </row>
    <row r="354" customFormat="false" ht="15" hidden="false" customHeight="false" outlineLevel="0" collapsed="false">
      <c r="A354" s="45"/>
      <c r="B354" s="44"/>
      <c r="C354" s="45"/>
      <c r="D354" s="44"/>
    </row>
    <row r="355" customFormat="false" ht="15" hidden="false" customHeight="false" outlineLevel="0" collapsed="false">
      <c r="A355" s="45"/>
      <c r="B355" s="44"/>
      <c r="C355" s="45"/>
      <c r="D355" s="44"/>
    </row>
    <row r="356" customFormat="false" ht="15" hidden="false" customHeight="false" outlineLevel="0" collapsed="false">
      <c r="A356" s="45"/>
      <c r="B356" s="44"/>
      <c r="C356" s="45"/>
      <c r="D356" s="44"/>
    </row>
    <row r="357" customFormat="false" ht="15" hidden="false" customHeight="false" outlineLevel="0" collapsed="false">
      <c r="A357" s="45"/>
      <c r="B357" s="44"/>
      <c r="C357" s="45"/>
      <c r="D357" s="44"/>
    </row>
    <row r="358" customFormat="false" ht="15" hidden="false" customHeight="false" outlineLevel="0" collapsed="false">
      <c r="A358" s="45"/>
      <c r="B358" s="44"/>
      <c r="C358" s="45"/>
      <c r="D358" s="44"/>
    </row>
    <row r="359" customFormat="false" ht="15" hidden="false" customHeight="false" outlineLevel="0" collapsed="false">
      <c r="A359" s="45"/>
      <c r="B359" s="44"/>
      <c r="C359" s="45"/>
      <c r="D359" s="44"/>
    </row>
    <row r="360" customFormat="false" ht="15" hidden="false" customHeight="false" outlineLevel="0" collapsed="false">
      <c r="A360" s="45"/>
      <c r="B360" s="44"/>
      <c r="C360" s="45"/>
      <c r="D360" s="44"/>
    </row>
    <row r="361" customFormat="false" ht="15" hidden="false" customHeight="false" outlineLevel="0" collapsed="false">
      <c r="A361" s="45"/>
      <c r="B361" s="44"/>
      <c r="C361" s="45"/>
      <c r="D361" s="44"/>
    </row>
    <row r="362" customFormat="false" ht="15" hidden="false" customHeight="false" outlineLevel="0" collapsed="false">
      <c r="A362" s="45"/>
      <c r="B362" s="44"/>
      <c r="C362" s="45"/>
      <c r="D362" s="44"/>
    </row>
    <row r="363" customFormat="false" ht="15" hidden="false" customHeight="false" outlineLevel="0" collapsed="false">
      <c r="A363" s="45"/>
      <c r="B363" s="44"/>
      <c r="C363" s="45"/>
      <c r="D363" s="44"/>
    </row>
    <row r="364" customFormat="false" ht="15" hidden="false" customHeight="false" outlineLevel="0" collapsed="false">
      <c r="A364" s="45"/>
      <c r="B364" s="44"/>
      <c r="C364" s="45"/>
      <c r="D364" s="44"/>
    </row>
    <row r="365" customFormat="false" ht="15" hidden="false" customHeight="false" outlineLevel="0" collapsed="false">
      <c r="A365" s="45"/>
      <c r="B365" s="44"/>
      <c r="C365" s="45"/>
      <c r="D365" s="44"/>
    </row>
    <row r="366" customFormat="false" ht="15" hidden="false" customHeight="false" outlineLevel="0" collapsed="false">
      <c r="A366" s="45"/>
      <c r="B366" s="44"/>
      <c r="C366" s="45"/>
      <c r="D366" s="44"/>
    </row>
    <row r="367" customFormat="false" ht="15" hidden="false" customHeight="false" outlineLevel="0" collapsed="false">
      <c r="A367" s="45"/>
      <c r="B367" s="44"/>
      <c r="C367" s="45"/>
      <c r="D367" s="44"/>
    </row>
    <row r="368" customFormat="false" ht="15" hidden="false" customHeight="false" outlineLevel="0" collapsed="false">
      <c r="A368" s="45"/>
      <c r="B368" s="44"/>
      <c r="C368" s="45"/>
      <c r="D368" s="44"/>
    </row>
    <row r="369" customFormat="false" ht="15" hidden="false" customHeight="false" outlineLevel="0" collapsed="false">
      <c r="A369" s="45"/>
      <c r="B369" s="44"/>
      <c r="C369" s="45"/>
      <c r="D369" s="44"/>
    </row>
    <row r="370" customFormat="false" ht="15" hidden="false" customHeight="false" outlineLevel="0" collapsed="false">
      <c r="A370" s="45"/>
      <c r="B370" s="44"/>
      <c r="C370" s="45"/>
      <c r="D370" s="44"/>
    </row>
    <row r="371" customFormat="false" ht="15" hidden="false" customHeight="false" outlineLevel="0" collapsed="false">
      <c r="A371" s="45"/>
      <c r="B371" s="44"/>
      <c r="C371" s="45"/>
      <c r="D371" s="44"/>
    </row>
    <row r="372" customFormat="false" ht="15" hidden="false" customHeight="false" outlineLevel="0" collapsed="false">
      <c r="A372" s="45"/>
      <c r="B372" s="44"/>
      <c r="C372" s="45"/>
      <c r="D372" s="44"/>
    </row>
    <row r="373" customFormat="false" ht="15" hidden="false" customHeight="false" outlineLevel="0" collapsed="false">
      <c r="A373" s="45"/>
      <c r="B373" s="44"/>
      <c r="C373" s="45"/>
      <c r="D373" s="44"/>
    </row>
    <row r="374" customFormat="false" ht="15" hidden="false" customHeight="false" outlineLevel="0" collapsed="false">
      <c r="A374" s="45"/>
      <c r="B374" s="44"/>
      <c r="C374" s="45"/>
      <c r="D374" s="44"/>
    </row>
    <row r="375" customFormat="false" ht="15" hidden="false" customHeight="false" outlineLevel="0" collapsed="false">
      <c r="A375" s="45"/>
      <c r="B375" s="44"/>
      <c r="C375" s="45"/>
      <c r="D375" s="44"/>
    </row>
    <row r="376" customFormat="false" ht="15" hidden="false" customHeight="false" outlineLevel="0" collapsed="false">
      <c r="A376" s="45"/>
      <c r="B376" s="44"/>
      <c r="C376" s="45"/>
      <c r="D376" s="44"/>
    </row>
    <row r="377" customFormat="false" ht="15" hidden="false" customHeight="false" outlineLevel="0" collapsed="false">
      <c r="A377" s="45"/>
      <c r="B377" s="44"/>
      <c r="C377" s="45"/>
      <c r="D377" s="44"/>
    </row>
    <row r="378" customFormat="false" ht="15" hidden="false" customHeight="false" outlineLevel="0" collapsed="false">
      <c r="A378" s="45"/>
      <c r="B378" s="44"/>
      <c r="C378" s="45"/>
      <c r="D378" s="44"/>
    </row>
    <row r="379" customFormat="false" ht="15" hidden="false" customHeight="false" outlineLevel="0" collapsed="false">
      <c r="A379" s="45"/>
      <c r="B379" s="44"/>
      <c r="C379" s="45"/>
      <c r="D379" s="44"/>
    </row>
    <row r="380" customFormat="false" ht="15" hidden="false" customHeight="false" outlineLevel="0" collapsed="false">
      <c r="A380" s="45"/>
      <c r="B380" s="44"/>
      <c r="C380" s="45"/>
      <c r="D380" s="44"/>
    </row>
    <row r="381" customFormat="false" ht="15" hidden="false" customHeight="false" outlineLevel="0" collapsed="false">
      <c r="A381" s="45"/>
      <c r="B381" s="44"/>
      <c r="C381" s="45"/>
      <c r="D381" s="44"/>
    </row>
    <row r="382" customFormat="false" ht="15" hidden="false" customHeight="false" outlineLevel="0" collapsed="false">
      <c r="A382" s="45"/>
      <c r="B382" s="44"/>
      <c r="C382" s="45"/>
      <c r="D382" s="44"/>
    </row>
    <row r="383" customFormat="false" ht="15" hidden="false" customHeight="false" outlineLevel="0" collapsed="false">
      <c r="A383" s="45"/>
      <c r="B383" s="44"/>
      <c r="C383" s="45"/>
      <c r="D383" s="44"/>
    </row>
    <row r="384" customFormat="false" ht="15" hidden="false" customHeight="false" outlineLevel="0" collapsed="false">
      <c r="A384" s="45"/>
      <c r="B384" s="44"/>
      <c r="C384" s="45"/>
      <c r="D384" s="44"/>
    </row>
    <row r="385" customFormat="false" ht="15" hidden="false" customHeight="false" outlineLevel="0" collapsed="false">
      <c r="A385" s="45"/>
      <c r="B385" s="44"/>
      <c r="C385" s="45"/>
      <c r="D385" s="44"/>
    </row>
    <row r="386" customFormat="false" ht="15" hidden="false" customHeight="false" outlineLevel="0" collapsed="false">
      <c r="A386" s="45"/>
      <c r="B386" s="44"/>
      <c r="C386" s="45"/>
      <c r="D386" s="44"/>
    </row>
    <row r="387" customFormat="false" ht="15" hidden="false" customHeight="false" outlineLevel="0" collapsed="false">
      <c r="A387" s="45"/>
      <c r="B387" s="44"/>
      <c r="C387" s="45"/>
      <c r="D387" s="44"/>
    </row>
    <row r="388" customFormat="false" ht="15" hidden="false" customHeight="false" outlineLevel="0" collapsed="false">
      <c r="A388" s="45"/>
      <c r="B388" s="44"/>
      <c r="C388" s="45"/>
      <c r="D388" s="44"/>
    </row>
    <row r="389" customFormat="false" ht="15" hidden="false" customHeight="false" outlineLevel="0" collapsed="false">
      <c r="A389" s="45"/>
      <c r="B389" s="44"/>
      <c r="C389" s="45"/>
      <c r="D389" s="44"/>
    </row>
    <row r="390" customFormat="false" ht="15" hidden="false" customHeight="false" outlineLevel="0" collapsed="false">
      <c r="A390" s="45"/>
      <c r="B390" s="44"/>
      <c r="C390" s="45"/>
      <c r="D390" s="44"/>
    </row>
    <row r="391" customFormat="false" ht="15" hidden="false" customHeight="false" outlineLevel="0" collapsed="false">
      <c r="A391" s="45"/>
      <c r="B391" s="44"/>
      <c r="C391" s="45"/>
      <c r="D391" s="44"/>
    </row>
    <row r="392" customFormat="false" ht="15" hidden="false" customHeight="false" outlineLevel="0" collapsed="false">
      <c r="A392" s="45"/>
      <c r="B392" s="44"/>
      <c r="C392" s="45"/>
      <c r="D392" s="44"/>
    </row>
    <row r="393" customFormat="false" ht="15" hidden="false" customHeight="false" outlineLevel="0" collapsed="false">
      <c r="A393" s="45"/>
      <c r="B393" s="44"/>
      <c r="C393" s="45"/>
      <c r="D393" s="44"/>
    </row>
    <row r="394" customFormat="false" ht="15" hidden="false" customHeight="false" outlineLevel="0" collapsed="false">
      <c r="A394" s="45"/>
      <c r="B394" s="44"/>
      <c r="C394" s="45"/>
      <c r="D394" s="44"/>
    </row>
    <row r="395" customFormat="false" ht="15" hidden="false" customHeight="false" outlineLevel="0" collapsed="false">
      <c r="A395" s="45"/>
      <c r="B395" s="44"/>
      <c r="C395" s="45"/>
      <c r="D395" s="44"/>
    </row>
    <row r="396" customFormat="false" ht="15" hidden="false" customHeight="false" outlineLevel="0" collapsed="false">
      <c r="A396" s="45"/>
      <c r="B396" s="44"/>
      <c r="C396" s="45"/>
      <c r="D396" s="44"/>
    </row>
    <row r="397" customFormat="false" ht="15" hidden="false" customHeight="false" outlineLevel="0" collapsed="false">
      <c r="A397" s="45"/>
      <c r="B397" s="44"/>
      <c r="C397" s="45"/>
      <c r="D397" s="44"/>
    </row>
    <row r="398" customFormat="false" ht="15" hidden="false" customHeight="false" outlineLevel="0" collapsed="false">
      <c r="A398" s="45"/>
      <c r="B398" s="44"/>
      <c r="C398" s="45"/>
      <c r="D398" s="44"/>
    </row>
    <row r="399" customFormat="false" ht="15" hidden="false" customHeight="false" outlineLevel="0" collapsed="false">
      <c r="A399" s="45"/>
      <c r="B399" s="44"/>
      <c r="C399" s="45"/>
      <c r="D399" s="44"/>
    </row>
    <row r="400" customFormat="false" ht="15" hidden="false" customHeight="false" outlineLevel="0" collapsed="false">
      <c r="A400" s="45"/>
      <c r="B400" s="44"/>
      <c r="C400" s="45"/>
      <c r="D400" s="44"/>
    </row>
    <row r="401" customFormat="false" ht="15" hidden="false" customHeight="false" outlineLevel="0" collapsed="false">
      <c r="A401" s="45"/>
      <c r="B401" s="44"/>
      <c r="C401" s="45"/>
      <c r="D401" s="44"/>
    </row>
    <row r="402" customFormat="false" ht="15" hidden="false" customHeight="false" outlineLevel="0" collapsed="false">
      <c r="A402" s="45"/>
      <c r="B402" s="44"/>
      <c r="C402" s="45"/>
      <c r="D402" s="44"/>
    </row>
    <row r="403" customFormat="false" ht="15" hidden="false" customHeight="false" outlineLevel="0" collapsed="false">
      <c r="A403" s="45"/>
      <c r="B403" s="44"/>
      <c r="C403" s="45"/>
      <c r="D403" s="44"/>
    </row>
    <row r="404" customFormat="false" ht="15" hidden="false" customHeight="false" outlineLevel="0" collapsed="false">
      <c r="A404" s="45"/>
      <c r="B404" s="44"/>
      <c r="C404" s="45"/>
      <c r="D404" s="44"/>
    </row>
  </sheetData>
  <sheetProtection sheet="true" formatColumns="false" formatRows="false" sort="false" autoFilter="false"/>
  <mergeCells count="2">
    <mergeCell ref="A1:E1"/>
    <mergeCell ref="A2:D2"/>
  </mergeCells>
  <dataValidations count="3">
    <dataValidation allowBlank="true" error="قيمة غير مسموحة" errorStyle="stop" errorTitle="خطأ" operator="between" showDropDown="false" showErrorMessage="false" showInputMessage="false" sqref="A5:A404" type="list">
      <formula1>'Pro إعدادات'!$A$5:$A$10</formula1>
      <formula2>0</formula2>
    </dataValidation>
    <dataValidation allowBlank="true" error="قيمة غير مسموحة" errorStyle="stop" errorTitle="خطأ" operator="between" showDropDown="false" showErrorMessage="false" showInputMessage="false" sqref="B5:B404" type="list">
      <formula1>"دعم,إرشاد,توقع,تنبيه"</formula1>
      <formula2>0</formula2>
    </dataValidation>
    <dataValidation allowBlank="true" error="قيمة غير مسموحة" errorStyle="stop" errorTitle="خطأ" operator="between" showDropDown="false" showErrorMessage="false" showInputMessage="false" sqref="D5:D404" type="list">
      <formula1>'قوائم النظام'!$B$2:$B$3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0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3"/>
    <col collapsed="false" customWidth="true" hidden="false" outlineLevel="0" max="4" min="4" style="0" width="24"/>
    <col collapsed="false" customWidth="true" hidden="false" outlineLevel="0" max="5" min="5" style="0" width="16"/>
    <col collapsed="false" customWidth="true" hidden="false" outlineLevel="0" max="6" min="6" style="0" width="3"/>
    <col collapsed="false" customWidth="true" hidden="false" outlineLevel="0" max="7" min="7" style="0" width="30"/>
    <col collapsed="false" customWidth="true" hidden="false" outlineLevel="0" max="8" min="8" style="0" width="12"/>
    <col collapsed="false" customWidth="true" hidden="false" outlineLevel="0" max="9" min="9" style="0" width="3"/>
    <col collapsed="false" customWidth="true" hidden="false" outlineLevel="0" max="10" min="10" style="0" width="30"/>
    <col collapsed="false" customWidth="true" hidden="false" outlineLevel="0" max="11" min="11" style="0" width="14"/>
    <col collapsed="false" customWidth="true" hidden="false" outlineLevel="0" max="12" min="12" style="0" width="3"/>
    <col collapsed="false" customWidth="true" hidden="false" outlineLevel="0" max="14" min="13" style="0" width="36"/>
  </cols>
  <sheetData>
    <row r="1" customFormat="false" ht="30" hidden="false" customHeight="true" outlineLevel="0" collapsed="false">
      <c r="A1" s="1" t="s">
        <v>797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5" hidden="false" customHeight="true" outlineLevel="0" collapsed="false">
      <c r="A2" s="4" t="s">
        <v>798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4" customFormat="false" ht="15" hidden="false" customHeight="false" outlineLevel="0" collapsed="false">
      <c r="A4" s="3" t="s">
        <v>799</v>
      </c>
      <c r="B4" s="18" t="n">
        <v>5</v>
      </c>
    </row>
    <row r="5" customFormat="false" ht="15" hidden="false" customHeight="false" outlineLevel="0" collapsed="false">
      <c r="A5" s="3" t="s">
        <v>800</v>
      </c>
      <c r="B5" s="18" t="n">
        <v>8</v>
      </c>
    </row>
    <row r="6" customFormat="false" ht="15" hidden="false" customHeight="false" outlineLevel="0" collapsed="false">
      <c r="A6" s="3" t="s">
        <v>801</v>
      </c>
      <c r="B6" s="18" t="n">
        <v>4</v>
      </c>
    </row>
    <row r="7" customFormat="false" ht="15" hidden="false" customHeight="false" outlineLevel="0" collapsed="false">
      <c r="A7" s="3" t="s">
        <v>802</v>
      </c>
      <c r="B7" s="18" t="n">
        <v>150</v>
      </c>
    </row>
    <row r="8" customFormat="false" ht="15" hidden="false" customHeight="false" outlineLevel="0" collapsed="false">
      <c r="A8" s="3" t="s">
        <v>803</v>
      </c>
      <c r="B8" s="18" t="n">
        <v>50</v>
      </c>
    </row>
    <row r="9" customFormat="false" ht="15" hidden="false" customHeight="true" outlineLevel="0" collapsed="false">
      <c r="M9" s="4" t="s">
        <v>804</v>
      </c>
      <c r="N9" s="4"/>
    </row>
    <row r="10" customFormat="false" ht="15" hidden="false" customHeight="false" outlineLevel="0" collapsed="false">
      <c r="A10" s="15" t="s">
        <v>805</v>
      </c>
      <c r="B10" s="15" t="s">
        <v>806</v>
      </c>
      <c r="D10" s="15" t="s">
        <v>807</v>
      </c>
      <c r="E10" s="15" t="s">
        <v>806</v>
      </c>
      <c r="G10" s="15" t="s">
        <v>808</v>
      </c>
      <c r="H10" s="15" t="s">
        <v>809</v>
      </c>
      <c r="J10" s="15" t="s">
        <v>810</v>
      </c>
      <c r="K10" s="15" t="s">
        <v>811</v>
      </c>
      <c r="M10" s="15" t="s">
        <v>812</v>
      </c>
      <c r="N10" s="15" t="s">
        <v>813</v>
      </c>
    </row>
    <row r="11" customFormat="false" ht="15" hidden="false" customHeight="false" outlineLevel="0" collapsed="false">
      <c r="A11" s="45"/>
      <c r="B11" s="45"/>
      <c r="D11" s="45"/>
      <c r="E11" s="45"/>
      <c r="G11" s="45"/>
      <c r="H11" s="45"/>
      <c r="J11" s="45"/>
      <c r="K11" s="45"/>
      <c r="M11" s="45" t="s">
        <v>814</v>
      </c>
      <c r="N11" s="45" t="s">
        <v>815</v>
      </c>
    </row>
    <row r="12" customFormat="false" ht="15" hidden="false" customHeight="false" outlineLevel="0" collapsed="false">
      <c r="A12" s="45"/>
      <c r="B12" s="45"/>
      <c r="D12" s="45"/>
      <c r="E12" s="45"/>
      <c r="G12" s="45"/>
      <c r="H12" s="45"/>
      <c r="J12" s="45"/>
      <c r="K12" s="45"/>
      <c r="M12" s="45"/>
      <c r="N12" s="45"/>
    </row>
    <row r="13" customFormat="false" ht="15" hidden="false" customHeight="false" outlineLevel="0" collapsed="false">
      <c r="A13" s="45"/>
      <c r="B13" s="45"/>
      <c r="D13" s="45"/>
      <c r="E13" s="45"/>
      <c r="G13" s="45"/>
      <c r="H13" s="45"/>
      <c r="J13" s="45"/>
      <c r="K13" s="45"/>
      <c r="M13" s="45"/>
      <c r="N13" s="45"/>
    </row>
    <row r="14" customFormat="false" ht="15" hidden="false" customHeight="false" outlineLevel="0" collapsed="false">
      <c r="A14" s="45"/>
      <c r="B14" s="45"/>
      <c r="D14" s="45"/>
      <c r="E14" s="45"/>
      <c r="G14" s="45"/>
      <c r="H14" s="45"/>
      <c r="J14" s="45"/>
      <c r="K14" s="45"/>
      <c r="M14" s="45"/>
      <c r="N14" s="45"/>
    </row>
    <row r="15" customFormat="false" ht="15" hidden="false" customHeight="false" outlineLevel="0" collapsed="false">
      <c r="A15" s="45"/>
      <c r="B15" s="45"/>
      <c r="D15" s="45"/>
      <c r="E15" s="45"/>
      <c r="G15" s="45"/>
      <c r="H15" s="45"/>
      <c r="J15" s="45"/>
      <c r="K15" s="45"/>
      <c r="M15" s="45"/>
      <c r="N15" s="45"/>
    </row>
    <row r="16" customFormat="false" ht="15" hidden="false" customHeight="false" outlineLevel="0" collapsed="false">
      <c r="A16" s="45"/>
      <c r="B16" s="45"/>
      <c r="D16" s="45"/>
      <c r="E16" s="45"/>
      <c r="G16" s="45"/>
      <c r="H16" s="45"/>
      <c r="J16" s="45"/>
      <c r="K16" s="45"/>
      <c r="M16" s="45"/>
      <c r="N16" s="45"/>
    </row>
    <row r="17" customFormat="false" ht="15" hidden="false" customHeight="false" outlineLevel="0" collapsed="false">
      <c r="A17" s="45"/>
      <c r="B17" s="45"/>
      <c r="D17" s="45"/>
      <c r="E17" s="45"/>
      <c r="G17" s="45"/>
      <c r="H17" s="45"/>
      <c r="J17" s="45"/>
      <c r="K17" s="45"/>
      <c r="M17" s="45"/>
      <c r="N17" s="45"/>
    </row>
    <row r="18" customFormat="false" ht="15" hidden="false" customHeight="false" outlineLevel="0" collapsed="false">
      <c r="A18" s="45"/>
      <c r="B18" s="45"/>
      <c r="D18" s="45"/>
      <c r="E18" s="45"/>
      <c r="G18" s="45"/>
      <c r="H18" s="45"/>
      <c r="J18" s="45"/>
      <c r="K18" s="45"/>
      <c r="M18" s="45"/>
      <c r="N18" s="45"/>
    </row>
    <row r="19" customFormat="false" ht="15" hidden="false" customHeight="false" outlineLevel="0" collapsed="false">
      <c r="A19" s="45"/>
      <c r="B19" s="45"/>
      <c r="D19" s="45"/>
      <c r="E19" s="45"/>
      <c r="G19" s="45"/>
      <c r="H19" s="45"/>
      <c r="J19" s="45"/>
      <c r="K19" s="45"/>
      <c r="M19" s="45"/>
      <c r="N19" s="45"/>
    </row>
    <row r="20" customFormat="false" ht="15" hidden="false" customHeight="false" outlineLevel="0" collapsed="false">
      <c r="A20" s="45"/>
      <c r="B20" s="45"/>
      <c r="D20" s="45"/>
      <c r="E20" s="45"/>
      <c r="G20" s="45"/>
      <c r="H20" s="45"/>
      <c r="J20" s="45"/>
      <c r="K20" s="45"/>
      <c r="M20" s="45"/>
      <c r="N20" s="45"/>
    </row>
    <row r="21" customFormat="false" ht="15" hidden="false" customHeight="false" outlineLevel="0" collapsed="false">
      <c r="A21" s="45"/>
      <c r="B21" s="45"/>
      <c r="D21" s="45"/>
      <c r="E21" s="45"/>
      <c r="G21" s="45"/>
      <c r="H21" s="45"/>
      <c r="J21" s="45"/>
      <c r="K21" s="45"/>
    </row>
    <row r="22" customFormat="false" ht="15" hidden="false" customHeight="false" outlineLevel="0" collapsed="false">
      <c r="A22" s="45"/>
      <c r="B22" s="45"/>
      <c r="D22" s="45"/>
      <c r="E22" s="45"/>
      <c r="G22" s="45"/>
      <c r="H22" s="45"/>
      <c r="J22" s="45"/>
      <c r="K22" s="45"/>
    </row>
    <row r="23" customFormat="false" ht="15" hidden="false" customHeight="false" outlineLevel="0" collapsed="false">
      <c r="A23" s="45"/>
      <c r="B23" s="45"/>
      <c r="D23" s="45"/>
      <c r="E23" s="45"/>
      <c r="G23" s="45"/>
      <c r="H23" s="45"/>
      <c r="J23" s="45"/>
      <c r="K23" s="45"/>
    </row>
    <row r="24" customFormat="false" ht="15" hidden="false" customHeight="false" outlineLevel="0" collapsed="false">
      <c r="A24" s="45"/>
      <c r="B24" s="45"/>
      <c r="D24" s="45"/>
      <c r="E24" s="45"/>
      <c r="G24" s="45"/>
      <c r="H24" s="45"/>
      <c r="J24" s="45"/>
      <c r="K24" s="45"/>
    </row>
    <row r="25" customFormat="false" ht="15" hidden="false" customHeight="false" outlineLevel="0" collapsed="false">
      <c r="A25" s="45"/>
      <c r="B25" s="45"/>
      <c r="D25" s="45"/>
      <c r="E25" s="45"/>
      <c r="G25" s="45"/>
      <c r="H25" s="45"/>
      <c r="J25" s="45"/>
      <c r="K25" s="45"/>
    </row>
    <row r="26" customFormat="false" ht="15" hidden="false" customHeight="false" outlineLevel="0" collapsed="false">
      <c r="A26" s="45"/>
      <c r="B26" s="45"/>
      <c r="D26" s="45"/>
      <c r="E26" s="45"/>
      <c r="G26" s="45"/>
      <c r="H26" s="45"/>
      <c r="J26" s="45"/>
      <c r="K26" s="45"/>
    </row>
    <row r="27" customFormat="false" ht="15" hidden="false" customHeight="false" outlineLevel="0" collapsed="false">
      <c r="A27" s="45"/>
      <c r="B27" s="45"/>
      <c r="D27" s="45"/>
      <c r="E27" s="45"/>
      <c r="G27" s="45"/>
      <c r="H27" s="45"/>
      <c r="J27" s="45"/>
      <c r="K27" s="45"/>
    </row>
    <row r="28" customFormat="false" ht="15" hidden="false" customHeight="false" outlineLevel="0" collapsed="false">
      <c r="A28" s="45"/>
      <c r="B28" s="45"/>
      <c r="D28" s="45"/>
      <c r="E28" s="45"/>
      <c r="G28" s="45"/>
      <c r="H28" s="45"/>
      <c r="J28" s="45"/>
      <c r="K28" s="45"/>
    </row>
    <row r="29" customFormat="false" ht="15" hidden="false" customHeight="false" outlineLevel="0" collapsed="false">
      <c r="A29" s="45"/>
      <c r="B29" s="45"/>
      <c r="D29" s="45"/>
      <c r="E29" s="45"/>
      <c r="G29" s="45"/>
      <c r="H29" s="45"/>
      <c r="J29" s="45"/>
      <c r="K29" s="45"/>
    </row>
    <row r="30" customFormat="false" ht="15" hidden="false" customHeight="false" outlineLevel="0" collapsed="false">
      <c r="A30" s="45"/>
      <c r="B30" s="45"/>
      <c r="D30" s="45"/>
      <c r="E30" s="45"/>
      <c r="G30" s="45"/>
      <c r="H30" s="45"/>
      <c r="J30" s="45"/>
      <c r="K30" s="45"/>
    </row>
    <row r="31" customFormat="false" ht="15" hidden="false" customHeight="false" outlineLevel="0" collapsed="false">
      <c r="A31" s="45"/>
      <c r="B31" s="45"/>
      <c r="G31" s="45"/>
      <c r="H31" s="45"/>
    </row>
    <row r="32" customFormat="false" ht="15" hidden="false" customHeight="false" outlineLevel="0" collapsed="false">
      <c r="A32" s="45"/>
      <c r="B32" s="45"/>
      <c r="G32" s="45"/>
      <c r="H32" s="45"/>
    </row>
    <row r="33" customFormat="false" ht="15" hidden="false" customHeight="false" outlineLevel="0" collapsed="false">
      <c r="A33" s="45"/>
      <c r="B33" s="45"/>
      <c r="G33" s="45"/>
      <c r="H33" s="45"/>
    </row>
    <row r="34" customFormat="false" ht="15" hidden="false" customHeight="false" outlineLevel="0" collapsed="false">
      <c r="A34" s="45"/>
      <c r="B34" s="45"/>
      <c r="G34" s="45"/>
      <c r="H34" s="45"/>
    </row>
    <row r="35" customFormat="false" ht="15" hidden="false" customHeight="false" outlineLevel="0" collapsed="false">
      <c r="A35" s="45"/>
      <c r="B35" s="45"/>
      <c r="G35" s="45"/>
      <c r="H35" s="45"/>
    </row>
    <row r="36" customFormat="false" ht="15" hidden="false" customHeight="false" outlineLevel="0" collapsed="false">
      <c r="A36" s="45"/>
      <c r="B36" s="45"/>
      <c r="G36" s="45"/>
      <c r="H36" s="45"/>
    </row>
    <row r="37" customFormat="false" ht="15" hidden="false" customHeight="false" outlineLevel="0" collapsed="false">
      <c r="A37" s="45"/>
      <c r="B37" s="45"/>
      <c r="G37" s="45"/>
      <c r="H37" s="45"/>
    </row>
    <row r="38" customFormat="false" ht="15" hidden="false" customHeight="false" outlineLevel="0" collapsed="false">
      <c r="A38" s="45"/>
      <c r="B38" s="45"/>
      <c r="G38" s="45"/>
      <c r="H38" s="45"/>
    </row>
    <row r="39" customFormat="false" ht="15" hidden="false" customHeight="false" outlineLevel="0" collapsed="false">
      <c r="A39" s="45"/>
      <c r="B39" s="45"/>
      <c r="G39" s="45"/>
      <c r="H39" s="45"/>
    </row>
    <row r="40" customFormat="false" ht="15" hidden="false" customHeight="false" outlineLevel="0" collapsed="false">
      <c r="A40" s="45"/>
      <c r="B40" s="45"/>
      <c r="G40" s="45"/>
      <c r="H40" s="45"/>
    </row>
    <row r="41" customFormat="false" ht="15" hidden="false" customHeight="false" outlineLevel="0" collapsed="false">
      <c r="A41" s="45"/>
      <c r="B41" s="45"/>
      <c r="G41" s="45"/>
      <c r="H41" s="45"/>
    </row>
    <row r="42" customFormat="false" ht="15" hidden="false" customHeight="false" outlineLevel="0" collapsed="false">
      <c r="A42" s="45"/>
      <c r="B42" s="45"/>
      <c r="G42" s="45"/>
      <c r="H42" s="45"/>
    </row>
    <row r="43" customFormat="false" ht="15" hidden="false" customHeight="false" outlineLevel="0" collapsed="false">
      <c r="A43" s="45"/>
      <c r="B43" s="45"/>
      <c r="G43" s="45"/>
      <c r="H43" s="45"/>
    </row>
    <row r="44" customFormat="false" ht="15" hidden="false" customHeight="false" outlineLevel="0" collapsed="false">
      <c r="A44" s="45"/>
      <c r="B44" s="45"/>
      <c r="G44" s="45"/>
      <c r="H44" s="45"/>
    </row>
    <row r="45" customFormat="false" ht="15" hidden="false" customHeight="false" outlineLevel="0" collapsed="false">
      <c r="A45" s="45"/>
      <c r="B45" s="45"/>
      <c r="G45" s="45"/>
      <c r="H45" s="45"/>
    </row>
    <row r="46" customFormat="false" ht="15" hidden="false" customHeight="false" outlineLevel="0" collapsed="false">
      <c r="A46" s="45"/>
      <c r="B46" s="45"/>
      <c r="G46" s="45"/>
      <c r="H46" s="45"/>
    </row>
    <row r="47" customFormat="false" ht="15" hidden="false" customHeight="false" outlineLevel="0" collapsed="false">
      <c r="A47" s="45"/>
      <c r="B47" s="45"/>
      <c r="G47" s="45"/>
      <c r="H47" s="45"/>
    </row>
    <row r="48" customFormat="false" ht="15" hidden="false" customHeight="false" outlineLevel="0" collapsed="false">
      <c r="A48" s="45"/>
      <c r="B48" s="45"/>
      <c r="G48" s="45"/>
      <c r="H48" s="45"/>
    </row>
    <row r="49" customFormat="false" ht="15" hidden="false" customHeight="false" outlineLevel="0" collapsed="false">
      <c r="A49" s="45"/>
      <c r="B49" s="45"/>
      <c r="G49" s="45"/>
      <c r="H49" s="45"/>
    </row>
    <row r="50" customFormat="false" ht="15" hidden="false" customHeight="false" outlineLevel="0" collapsed="false">
      <c r="A50" s="45"/>
      <c r="B50" s="45"/>
      <c r="G50" s="45"/>
      <c r="H50" s="45"/>
    </row>
  </sheetData>
  <sheetProtection sheet="true" formatColumns="false" formatRows="false" sort="false" autoFilter="false"/>
  <mergeCells count="3">
    <mergeCell ref="A1:P1"/>
    <mergeCell ref="A2:P2"/>
    <mergeCell ref="M9:N9"/>
  </mergeCells>
  <dataValidations count="4">
    <dataValidation allowBlank="true" error="قيمة غير مسموحة" errorStyle="stop" errorTitle="خطأ" operator="between" showDropDown="false" showErrorMessage="false" showInputMessage="false" sqref="A11:A50" type="list">
      <formula1>'Pro قاعدة الأغذية'!$C$5:$C$604</formula1>
      <formula2>0</formula2>
    </dataValidation>
    <dataValidation allowBlank="true" error="قيمة غير مسموحة" errorStyle="stop" errorTitle="خطأ" operator="between" showDropDown="false" showErrorMessage="false" showInputMessage="false" sqref="G11:G50" type="list">
      <formula1>'Pro قاعدة الأغذية'!$C$5:$C$604</formula1>
      <formula2>0</formula2>
    </dataValidation>
    <dataValidation allowBlank="true" error="قيمة غير مسموحة" errorStyle="stop" errorTitle="خطأ" operator="between" showDropDown="false" showErrorMessage="false" showInputMessage="false" sqref="J11:J30" type="list">
      <formula1>'Pro قاعدة الأغذية'!$C$5:$C$604</formula1>
      <formula2>0</formula2>
    </dataValidation>
    <dataValidation allowBlank="true" error="قيمة غير مسموحة" errorStyle="stop" errorTitle="خطأ" operator="between" showDropDown="false" showErrorMessage="false" showInputMessage="false" sqref="H11:H50" type="list">
      <formula1>"1,2,3"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8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6" min="1" style="0" width="28"/>
  </cols>
  <sheetData>
    <row r="1" customFormat="false" ht="15" hidden="false" customHeight="false" outlineLevel="0" collapsed="false">
      <c r="A1" s="53" t="s">
        <v>12</v>
      </c>
      <c r="B1" s="53" t="s">
        <v>816</v>
      </c>
      <c r="C1" s="53" t="s">
        <v>817</v>
      </c>
      <c r="D1" s="53" t="s">
        <v>818</v>
      </c>
      <c r="E1" s="53" t="s">
        <v>819</v>
      </c>
      <c r="F1" s="53" t="s">
        <v>820</v>
      </c>
      <c r="G1" s="53" t="s">
        <v>821</v>
      </c>
      <c r="H1" s="53" t="s">
        <v>822</v>
      </c>
      <c r="I1" s="53" t="s">
        <v>823</v>
      </c>
      <c r="J1" s="53" t="s">
        <v>824</v>
      </c>
      <c r="K1" s="53" t="s">
        <v>825</v>
      </c>
      <c r="L1" s="53" t="s">
        <v>826</v>
      </c>
      <c r="M1" s="53" t="s">
        <v>827</v>
      </c>
      <c r="N1" s="53" t="s">
        <v>828</v>
      </c>
      <c r="O1" s="53" t="s">
        <v>829</v>
      </c>
      <c r="P1" s="53" t="s">
        <v>830</v>
      </c>
    </row>
    <row r="2" customFormat="false" ht="15" hidden="false" customHeight="false" outlineLevel="0" collapsed="false">
      <c r="A2" s="30" t="s">
        <v>13</v>
      </c>
      <c r="B2" s="30" t="s">
        <v>145</v>
      </c>
      <c r="C2" s="30" t="s">
        <v>831</v>
      </c>
      <c r="D2" s="30" t="n">
        <v>3</v>
      </c>
      <c r="E2" s="30" t="s">
        <v>832</v>
      </c>
      <c r="F2" s="30" t="s">
        <v>149</v>
      </c>
      <c r="G2" s="30" t="s">
        <v>833</v>
      </c>
      <c r="H2" s="30" t="s">
        <v>834</v>
      </c>
      <c r="I2" s="30" t="s">
        <v>835</v>
      </c>
      <c r="J2" s="30" t="s">
        <v>836</v>
      </c>
      <c r="K2" s="30" t="s">
        <v>837</v>
      </c>
      <c r="L2" s="30" t="n">
        <v>3</v>
      </c>
      <c r="M2" s="30" t="s">
        <v>838</v>
      </c>
      <c r="N2" s="30" t="s">
        <v>839</v>
      </c>
      <c r="O2" s="30" t="n">
        <v>0.25</v>
      </c>
      <c r="P2" s="30" t="s">
        <v>840</v>
      </c>
    </row>
    <row r="3" customFormat="false" ht="35.05" hidden="false" customHeight="false" outlineLevel="0" collapsed="false">
      <c r="A3" s="30" t="s">
        <v>841</v>
      </c>
      <c r="B3" s="30" t="s">
        <v>648</v>
      </c>
      <c r="C3" s="30" t="s">
        <v>842</v>
      </c>
      <c r="D3" s="30" t="n">
        <v>2</v>
      </c>
      <c r="E3" s="30" t="s">
        <v>843</v>
      </c>
      <c r="F3" s="30" t="s">
        <v>143</v>
      </c>
      <c r="G3" s="30" t="s">
        <v>844</v>
      </c>
      <c r="H3" s="30" t="s">
        <v>845</v>
      </c>
      <c r="I3" s="30" t="s">
        <v>846</v>
      </c>
      <c r="J3" s="30" t="s">
        <v>847</v>
      </c>
      <c r="K3" s="30" t="s">
        <v>848</v>
      </c>
      <c r="L3" s="30" t="n">
        <v>4</v>
      </c>
      <c r="M3" s="30" t="s">
        <v>849</v>
      </c>
      <c r="N3" s="30" t="s">
        <v>850</v>
      </c>
      <c r="O3" s="30" t="n">
        <v>0.5</v>
      </c>
      <c r="P3" s="30" t="s">
        <v>851</v>
      </c>
    </row>
    <row r="4" customFormat="false" ht="23.85" hidden="false" customHeight="false" outlineLevel="0" collapsed="false">
      <c r="C4" s="30" t="s">
        <v>852</v>
      </c>
      <c r="D4" s="30" t="n">
        <v>1</v>
      </c>
      <c r="E4" s="30" t="s">
        <v>853</v>
      </c>
      <c r="F4" s="30" t="s">
        <v>854</v>
      </c>
      <c r="H4" s="30" t="s">
        <v>855</v>
      </c>
      <c r="I4" s="30" t="s">
        <v>856</v>
      </c>
      <c r="K4" s="30" t="s">
        <v>857</v>
      </c>
      <c r="L4" s="30" t="n">
        <v>5</v>
      </c>
      <c r="M4" s="30" t="s">
        <v>858</v>
      </c>
      <c r="N4" s="30" t="s">
        <v>859</v>
      </c>
      <c r="P4" s="30" t="s">
        <v>860</v>
      </c>
    </row>
    <row r="5" customFormat="false" ht="35.05" hidden="false" customHeight="false" outlineLevel="0" collapsed="false">
      <c r="C5" s="30" t="s">
        <v>861</v>
      </c>
      <c r="D5" s="30" t="n">
        <v>0</v>
      </c>
      <c r="E5" s="30" t="s">
        <v>862</v>
      </c>
      <c r="K5" s="30" t="s">
        <v>120</v>
      </c>
      <c r="L5" s="30" t="n">
        <v>6</v>
      </c>
      <c r="M5" s="30" t="s">
        <v>863</v>
      </c>
      <c r="N5" s="30" t="s">
        <v>864</v>
      </c>
      <c r="P5" s="30" t="s">
        <v>865</v>
      </c>
    </row>
    <row r="6" customFormat="false" ht="23.85" hidden="false" customHeight="false" outlineLevel="0" collapsed="false">
      <c r="E6" s="30" t="s">
        <v>866</v>
      </c>
      <c r="K6" s="30" t="s">
        <v>867</v>
      </c>
      <c r="M6" s="30" t="s">
        <v>868</v>
      </c>
      <c r="N6" s="30" t="s">
        <v>869</v>
      </c>
      <c r="P6" s="30" t="s">
        <v>349</v>
      </c>
    </row>
    <row r="7" customFormat="false" ht="15" hidden="false" customHeight="false" outlineLevel="0" collapsed="false">
      <c r="E7" s="30" t="s">
        <v>870</v>
      </c>
      <c r="K7" s="30" t="s">
        <v>871</v>
      </c>
      <c r="P7" s="30" t="s">
        <v>872</v>
      </c>
    </row>
    <row r="8" customFormat="false" ht="15" hidden="false" customHeight="false" outlineLevel="0" collapsed="false">
      <c r="K8" s="30" t="s">
        <v>873</v>
      </c>
    </row>
  </sheetData>
  <sheetProtection sheet="true" formatColumns="false" formatRows="false" sort="false" autoFilter="false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2026-10-11T17:29:18Z</dcterms:created>
  <dc:creator>openpyxl</dc:creator>
  <dc:description/>
  <dc:language>en-US</dc:language>
  <cp:lastModifiedBy/>
  <dcterms:modified xsi:type="dcterms:W3CDTF">2026-10-11T17:29:21Z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